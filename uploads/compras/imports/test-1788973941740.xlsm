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CONTROL DE COMPRAS\COMPRAS 2026\"/>
    </mc:Choice>
  </mc:AlternateContent>
  <xr:revisionPtr revIDLastSave="0" documentId="13_ncr:1_{A87ACDD1-C903-4A26-A829-06AB06BA6CC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ptura_Orden" sheetId="1" r:id="rId1"/>
    <sheet name="Historial_Compras" sheetId="2" r:id="rId2"/>
    <sheet name="Arauco" sheetId="3" r:id="rId3"/>
    <sheet name="Aranzazú" sheetId="5" r:id="rId4"/>
    <sheet name="Monterrey" sheetId="4" r:id="rId5"/>
    <sheet name="Tayoltita" sheetId="6" r:id="rId6"/>
    <sheet name="Taller" sheetId="8" r:id="rId7"/>
    <sheet name="Monclova " sheetId="10" r:id="rId8"/>
    <sheet name="TORREON " sheetId="11" r:id="rId9"/>
  </sheets>
  <definedNames>
    <definedName name="_xlnm.Print_Area" localSheetId="3">Aranzazú!$A$1:$L$61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5" i="2" l="1"/>
  <c r="K204" i="2"/>
  <c r="K203" i="2"/>
  <c r="K8" i="11"/>
  <c r="K7" i="11"/>
  <c r="K6" i="11"/>
  <c r="D3" i="1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D3" i="10"/>
  <c r="H12" i="1"/>
  <c r="H11" i="1"/>
  <c r="D3" i="3"/>
  <c r="D3" i="8"/>
  <c r="D3" i="6" l="1"/>
  <c r="D3" i="5"/>
  <c r="D3" i="4"/>
  <c r="H26" i="1" l="1"/>
</calcChain>
</file>

<file path=xl/sharedStrings.xml><?xml version="1.0" encoding="utf-8"?>
<sst xmlns="http://schemas.openxmlformats.org/spreadsheetml/2006/main" count="2207" uniqueCount="392">
  <si>
    <t>Sistema Centralizado de Captura y Control de Compras por Proyecto</t>
  </si>
  <si>
    <t>Fecha de Compra:</t>
  </si>
  <si>
    <t>Proyecto Destino:</t>
  </si>
  <si>
    <t>Nombre Proveedor:</t>
  </si>
  <si>
    <t>Ingeniero Solicitante:</t>
  </si>
  <si>
    <t>Índice</t>
  </si>
  <si>
    <t>Cantidad</t>
  </si>
  <si>
    <t>Unidad</t>
  </si>
  <si>
    <t>Nombre del Producto</t>
  </si>
  <si>
    <t>Características / Especificaciones</t>
  </si>
  <si>
    <t>Para qué se utilizará / Ubicación</t>
  </si>
  <si>
    <t>Precio Unitario</t>
  </si>
  <si>
    <t>Importe Total</t>
  </si>
  <si>
    <t>Piezas</t>
  </si>
  <si>
    <t>Malla Electrosoldada</t>
  </si>
  <si>
    <t>Hojas de 2.5m x 6.0m</t>
  </si>
  <si>
    <t>Firme de rampa</t>
  </si>
  <si>
    <t>Total de esta Orden:</t>
  </si>
  <si>
    <t>Fecha</t>
  </si>
  <si>
    <t>Proyecto</t>
  </si>
  <si>
    <t>Proveedor</t>
  </si>
  <si>
    <t>Características</t>
  </si>
  <si>
    <t>Para qué se usará</t>
  </si>
  <si>
    <t>CONTROL TOTAL: ARAUCO</t>
  </si>
  <si>
    <t>Total Acumulado:</t>
  </si>
  <si>
    <t>CONTROL TOTAL: MONTERREY</t>
  </si>
  <si>
    <t>CONTROL TOTAL: ARANZAZÚ</t>
  </si>
  <si>
    <t>CONTROL TOTAL: TAYOLTITA</t>
  </si>
  <si>
    <t>OBRAS Y ARMADOS  ESTRUCTURALES</t>
  </si>
  <si>
    <t>APACSA</t>
  </si>
  <si>
    <t>16/0672026</t>
  </si>
  <si>
    <t>MONTERREY</t>
  </si>
  <si>
    <r>
      <t>G</t>
    </r>
    <r>
      <rPr>
        <b/>
        <sz val="10"/>
        <rFont val="Segoe UI"/>
        <family val="2"/>
      </rPr>
      <t xml:space="preserve">GUARDAR Y REGISTRAR </t>
    </r>
  </si>
  <si>
    <t>15(05</t>
  </si>
  <si>
    <t xml:space="preserve">MEDSA </t>
  </si>
  <si>
    <t>piezas</t>
  </si>
  <si>
    <t xml:space="preserve">Mts </t>
  </si>
  <si>
    <t xml:space="preserve">cajas </t>
  </si>
  <si>
    <t xml:space="preserve"> fs de 1/2"</t>
  </si>
  <si>
    <t xml:space="preserve">clavijas </t>
  </si>
  <si>
    <t xml:space="preserve">contactos dobles </t>
  </si>
  <si>
    <t xml:space="preserve">tapa para contacto </t>
  </si>
  <si>
    <t xml:space="preserve">cordon de uso rudo </t>
  </si>
  <si>
    <t>ARAUCO</t>
  </si>
  <si>
    <t xml:space="preserve">CORONA </t>
  </si>
  <si>
    <t>PZAS</t>
  </si>
  <si>
    <t xml:space="preserve">Escuadras para cantero </t>
  </si>
  <si>
    <t xml:space="preserve">Pinzas para presion </t>
  </si>
  <si>
    <t xml:space="preserve">STEREN </t>
  </si>
  <si>
    <t>SWITCH</t>
  </si>
  <si>
    <t xml:space="preserve">LA CASA DEL SOLDADOR </t>
  </si>
  <si>
    <t>Mordaza</t>
  </si>
  <si>
    <t xml:space="preserve">Filtro </t>
  </si>
  <si>
    <t>Ceramica °10</t>
  </si>
  <si>
    <t>de 1/8</t>
  </si>
  <si>
    <t>Nivel torpedo n°9</t>
  </si>
  <si>
    <t xml:space="preserve">CORONA HERRAMIENTAS </t>
  </si>
  <si>
    <t xml:space="preserve">CARDAS 2" </t>
  </si>
  <si>
    <t xml:space="preserve">INFRA </t>
  </si>
  <si>
    <t xml:space="preserve">DISCOS DE CORTE 4 1/2X1" </t>
  </si>
  <si>
    <t>DISCOS  DE METAL 1/2"X1/4</t>
  </si>
  <si>
    <t>ARGON</t>
  </si>
  <si>
    <t xml:space="preserve">Corona </t>
  </si>
  <si>
    <t>PINZAS PARA TIERRA</t>
  </si>
  <si>
    <t xml:space="preserve">CASA DEL SOLDADOR </t>
  </si>
  <si>
    <t>KG</t>
  </si>
  <si>
    <t xml:space="preserve">APORTE ACERO AL CARBON </t>
  </si>
  <si>
    <t>DISCO METAL DE 4 1/2</t>
  </si>
  <si>
    <t>DISCO CORTE DE METAL 7"</t>
  </si>
  <si>
    <t>BODEG+ON DEL PUEBLO</t>
  </si>
  <si>
    <t>BOLSAS</t>
  </si>
  <si>
    <t xml:space="preserve">PIJAS DE 4" </t>
  </si>
  <si>
    <t xml:space="preserve">BOLSA </t>
  </si>
  <si>
    <t>PIJAS DE 6"</t>
  </si>
  <si>
    <t>PUNTA DE CRUZ Y CUADRO</t>
  </si>
  <si>
    <t xml:space="preserve">FASTER </t>
  </si>
  <si>
    <t>TALLER</t>
  </si>
  <si>
    <t xml:space="preserve">SOPORTE PARA EXTINTOR </t>
  </si>
  <si>
    <t xml:space="preserve">COMERCIALIZADORA CAMP </t>
  </si>
  <si>
    <t xml:space="preserve">LTS </t>
  </si>
  <si>
    <t xml:space="preserve">CUBETA DE ACEITE </t>
  </si>
  <si>
    <t xml:space="preserve">TUNGSTENO ROJO 1/8 ROJO </t>
  </si>
  <si>
    <t xml:space="preserve">SEGUROS PARA GANCHO DE GARRUCHA DE 2 TON </t>
  </si>
  <si>
    <t>Cant.</t>
  </si>
  <si>
    <t>C3</t>
  </si>
  <si>
    <t>BANDA OJILLADA DE AGUA</t>
  </si>
  <si>
    <t xml:space="preserve">1 ROLLO DE 25MTS </t>
  </si>
  <si>
    <t>ROLLO</t>
  </si>
  <si>
    <t xml:space="preserve">CUBETA </t>
  </si>
  <si>
    <t xml:space="preserve">CURACRETO </t>
  </si>
  <si>
    <t xml:space="preserve">CURADOR PARA CONCRETOS </t>
  </si>
  <si>
    <t xml:space="preserve">DESMOLDANTE </t>
  </si>
  <si>
    <t xml:space="preserve">HOJAS </t>
  </si>
  <si>
    <t xml:space="preserve">CELOTEX </t>
  </si>
  <si>
    <t>SISTEMA PARA RELLENO DE JUNTAS</t>
  </si>
  <si>
    <t xml:space="preserve">TUBOS </t>
  </si>
  <si>
    <t xml:space="preserve">SIKAFLEX </t>
  </si>
  <si>
    <t xml:space="preserve">PRESENTACIÓN DE 1.22 KG </t>
  </si>
  <si>
    <t>Aranzazú</t>
  </si>
  <si>
    <t>SIBSA SALTILLO</t>
  </si>
  <si>
    <t xml:space="preserve">RODILLERA GRIS RIGIDA </t>
  </si>
  <si>
    <t>PARES</t>
  </si>
  <si>
    <t xml:space="preserve">GUANTES ANTIVIBRACIÓN </t>
  </si>
  <si>
    <t>ADAPTADOR PARA CASCO</t>
  </si>
  <si>
    <t xml:space="preserve">MICAS PROTECTORAS </t>
  </si>
  <si>
    <t>CASCO TIPO CACHUCHA</t>
  </si>
  <si>
    <t>OREJERA (SORDINA)</t>
  </si>
  <si>
    <t xml:space="preserve">MASCARILLA CON FILTRO </t>
  </si>
  <si>
    <t>MORSA</t>
  </si>
  <si>
    <t xml:space="preserve">ROSCA DE DON TOÑO </t>
  </si>
  <si>
    <t xml:space="preserve">CONTROL TOTAL: Taller </t>
  </si>
  <si>
    <t xml:space="preserve">TALLER </t>
  </si>
  <si>
    <t xml:space="preserve">JONATHAN </t>
  </si>
  <si>
    <t xml:space="preserve">DISCO DE CORTE DE 4" </t>
  </si>
  <si>
    <t xml:space="preserve">DISCO DE CORTE DE 7" </t>
  </si>
  <si>
    <t xml:space="preserve">DISCO LAMINADO DE 4" </t>
  </si>
  <si>
    <t>VENTACERO</t>
  </si>
  <si>
    <t>LAMINAS NEGRA RC CAL.11 DE 4X10</t>
  </si>
  <si>
    <t xml:space="preserve">SOLERAS </t>
  </si>
  <si>
    <t>INFRA</t>
  </si>
  <si>
    <t>RECARGAS</t>
  </si>
  <si>
    <t xml:space="preserve">TANQUE DE ARGÓN </t>
  </si>
  <si>
    <t xml:space="preserve">FILTRO </t>
  </si>
  <si>
    <t>SOLDADURA 6010 1/8</t>
  </si>
  <si>
    <t xml:space="preserve">TOÑO HANGAR </t>
  </si>
  <si>
    <t xml:space="preserve">KG </t>
  </si>
  <si>
    <t>SOLDADURA 7018 1/8</t>
  </si>
  <si>
    <t xml:space="preserve">CASETAS </t>
  </si>
  <si>
    <t>DISCOS DE CORTE DE 4"</t>
  </si>
  <si>
    <t xml:space="preserve">DISCOS LAMINADOS </t>
  </si>
  <si>
    <t xml:space="preserve">DISCOS DE CORTE LAMINADO DE 7" </t>
  </si>
  <si>
    <t xml:space="preserve">TANQUES DE OXIGENO </t>
  </si>
  <si>
    <t>pza</t>
  </si>
  <si>
    <t>PLACA DE 4X10 FT ESPESOR DE 1/2</t>
  </si>
  <si>
    <t xml:space="preserve">PROYECTO DE AURA </t>
  </si>
  <si>
    <t>COFIASA</t>
  </si>
  <si>
    <t>SOLDADURA 7018 DE 1/8</t>
  </si>
  <si>
    <t>SOLDADURA 6011  DE 1/8</t>
  </si>
  <si>
    <t>CASETAS</t>
  </si>
  <si>
    <t>SOLDADURA 6010 DE 1/8</t>
  </si>
  <si>
    <t>DISCOS CORTE DE METAL DE 4 1/2</t>
  </si>
  <si>
    <t>DISCOS  LAMINADO DE 4 1/2</t>
  </si>
  <si>
    <t>DISCOS  METAL DE  4 1/2</t>
  </si>
  <si>
    <t>OXIGENO INDUSTRIAL</t>
  </si>
  <si>
    <t xml:space="preserve">SE VENDE POR KG </t>
  </si>
  <si>
    <t xml:space="preserve">FEGOVI </t>
  </si>
  <si>
    <t>ALEX</t>
  </si>
  <si>
    <t xml:space="preserve">CUBETAS </t>
  </si>
  <si>
    <t>THINNER 19 LTS</t>
  </si>
  <si>
    <t>CORONA</t>
  </si>
  <si>
    <t>PZA</t>
  </si>
  <si>
    <t xml:space="preserve">TALADRO </t>
  </si>
  <si>
    <t xml:space="preserve">DON FERNANDO </t>
  </si>
  <si>
    <t>LTS</t>
  </si>
  <si>
    <t xml:space="preserve">THINNER </t>
  </si>
  <si>
    <t xml:space="preserve">TORNILLOS ÁGUILA </t>
  </si>
  <si>
    <t>pzas</t>
  </si>
  <si>
    <t>TORNILLO DE GRADO 5/8</t>
  </si>
  <si>
    <t xml:space="preserve">ARANDELA PLANA </t>
  </si>
  <si>
    <t>MEDINA</t>
  </si>
  <si>
    <t>VARILLA ROSCADA G-5 5/8</t>
  </si>
  <si>
    <t>Arauco</t>
  </si>
  <si>
    <t>Taller</t>
  </si>
  <si>
    <t>FILTROS DEL GUADIANA</t>
  </si>
  <si>
    <t xml:space="preserve">MARTIN </t>
  </si>
  <si>
    <t xml:space="preserve">FILTROS </t>
  </si>
  <si>
    <t>LAGACERO</t>
  </si>
  <si>
    <t xml:space="preserve">KIT DE MANTENIMIENTO DE GENERADOR SOLDADOR </t>
  </si>
  <si>
    <t xml:space="preserve">PANCHO /MANTENIMIENTO </t>
  </si>
  <si>
    <t>ACEITE</t>
  </si>
  <si>
    <t>PARA GRUA GROVE/MARTIN</t>
  </si>
  <si>
    <t xml:space="preserve">CONTROL TOTAL: PARQUE </t>
  </si>
  <si>
    <t>CARRETE</t>
  </si>
  <si>
    <t xml:space="preserve">FLETE </t>
  </si>
  <si>
    <t xml:space="preserve">MANIOBRA MAQUINARIA </t>
  </si>
  <si>
    <t xml:space="preserve">FLETE /MARTIN </t>
  </si>
  <si>
    <t>MAY</t>
  </si>
  <si>
    <t>LITROS</t>
  </si>
  <si>
    <t>THINNER</t>
  </si>
  <si>
    <t>CERAMICA 8 1/2</t>
  </si>
  <si>
    <t>MORDAZA 1/8</t>
  </si>
  <si>
    <t>TOBERA BNZEL</t>
  </si>
  <si>
    <t>DISCO DE CORTE FINO</t>
  </si>
  <si>
    <t>APORTE ACERO AL CARBÓN 3/32</t>
  </si>
  <si>
    <t>REGIO ACERO</t>
  </si>
  <si>
    <t xml:space="preserve">TRAMOS </t>
  </si>
  <si>
    <t>ANGULO DE 3/16 X 2X2</t>
  </si>
  <si>
    <t>REDONDO DE 3/4</t>
  </si>
  <si>
    <t>ANGULO</t>
  </si>
  <si>
    <t>REDONDO</t>
  </si>
  <si>
    <t>EDUARDO</t>
  </si>
  <si>
    <t>GATO</t>
  </si>
  <si>
    <t xml:space="preserve">MARTIN/TAYOLTITA </t>
  </si>
  <si>
    <t xml:space="preserve">REGIO ACERO </t>
  </si>
  <si>
    <t>LAMINAS CAL 11 4X10 FTS</t>
  </si>
  <si>
    <t>ING.CARLOS/SOLERAS</t>
  </si>
  <si>
    <t>TAYOLTITA</t>
  </si>
  <si>
    <t>DISCOS CORTE DE METAL</t>
  </si>
  <si>
    <t xml:space="preserve">ARQUI MEDINA </t>
  </si>
  <si>
    <t>DISCOS DE CORTE DE DESBASTE</t>
  </si>
  <si>
    <t>CARDAS</t>
  </si>
  <si>
    <t>SOPLETE</t>
  </si>
  <si>
    <t>PORTAELECTRODO</t>
  </si>
  <si>
    <t xml:space="preserve">ACETILENO </t>
  </si>
  <si>
    <t>ESMILIDADORA</t>
  </si>
  <si>
    <t>SIBSA</t>
  </si>
  <si>
    <t xml:space="preserve">CARETA PARA SOLDADOR </t>
  </si>
  <si>
    <t xml:space="preserve">DUPONT </t>
  </si>
  <si>
    <t>LTO</t>
  </si>
  <si>
    <t xml:space="preserve">RESINA </t>
  </si>
  <si>
    <t xml:space="preserve">LITRO DE ESMALTE </t>
  </si>
  <si>
    <t>SECANTE</t>
  </si>
  <si>
    <t>PARA CAMIÓN DE VOLTEO</t>
  </si>
  <si>
    <t>PÁRA CAMION DE VOLTEO</t>
  </si>
  <si>
    <t>MANUEL GALINDO</t>
  </si>
  <si>
    <t>PRODECO</t>
  </si>
  <si>
    <t xml:space="preserve">TECLADO </t>
  </si>
  <si>
    <t>INALAMBRICO</t>
  </si>
  <si>
    <t xml:space="preserve">ING.CARLOS </t>
  </si>
  <si>
    <t xml:space="preserve">ING.ANA </t>
  </si>
  <si>
    <t xml:space="preserve">AIRE COMPRIMIDO </t>
  </si>
  <si>
    <t xml:space="preserve">DISCOS DESABASTE </t>
  </si>
  <si>
    <t>ESCUADRAS CARPINTERO</t>
  </si>
  <si>
    <t xml:space="preserve">ESCUADRAS COMBINACION </t>
  </si>
  <si>
    <t>ARQUI MEDINA</t>
  </si>
  <si>
    <t>KALISH</t>
  </si>
  <si>
    <t>POLIN CAL 14 12X12</t>
  </si>
  <si>
    <t>POLIN C14 10X10</t>
  </si>
  <si>
    <t>ARQUI GUSTAVO</t>
  </si>
  <si>
    <t>ARANZAZÚ</t>
  </si>
  <si>
    <t>TRAMO</t>
  </si>
  <si>
    <t>IPR 10X5 3/4</t>
  </si>
  <si>
    <t>FEGOVI</t>
  </si>
  <si>
    <t>PASTA</t>
  </si>
  <si>
    <t>DISCOS</t>
  </si>
  <si>
    <t xml:space="preserve">BISAGRAS TUBULARES </t>
  </si>
  <si>
    <t>DISCO DE CORTE 4 1/2</t>
  </si>
  <si>
    <t xml:space="preserve">TANQUES DE ARGÓN </t>
  </si>
  <si>
    <t xml:space="preserve">ARQUI.MEDINA </t>
  </si>
  <si>
    <t xml:space="preserve">OXIGENO INDUSTRIAL </t>
  </si>
  <si>
    <t xml:space="preserve">KALISH </t>
  </si>
  <si>
    <t>PTR CAL 14</t>
  </si>
  <si>
    <t xml:space="preserve">DON FERNANDO/JONATHAN </t>
  </si>
  <si>
    <t xml:space="preserve">FERRETERIA DURANGO </t>
  </si>
  <si>
    <t xml:space="preserve">PULIDORA MAKITA </t>
  </si>
  <si>
    <t>DON TOÑO</t>
  </si>
  <si>
    <t>VARILLA REDONDA 3/4X20 FT</t>
  </si>
  <si>
    <t>ARQUI GUSTAVO/PALAPA</t>
  </si>
  <si>
    <t xml:space="preserve">GONGORA </t>
  </si>
  <si>
    <t>PULIDOR GRANDE MAKITA</t>
  </si>
  <si>
    <t>PULIDOR CHICO MAKITA</t>
  </si>
  <si>
    <t xml:space="preserve">ESACALERA TIJERA </t>
  </si>
  <si>
    <t>ING.CARLOS</t>
  </si>
  <si>
    <t>FERRETERIA DGO</t>
  </si>
  <si>
    <t xml:space="preserve">SELLADOR DURETAN </t>
  </si>
  <si>
    <t>JONATHAN/CASETAS</t>
  </si>
  <si>
    <t xml:space="preserve">RECOGEDOR </t>
  </si>
  <si>
    <t>FIBRA VERDE</t>
  </si>
  <si>
    <t xml:space="preserve">GLAMUROSO </t>
  </si>
  <si>
    <t>TORNILLSO DGS</t>
  </si>
  <si>
    <t>VARILLA ROSCADAS G5 5/8</t>
  </si>
  <si>
    <t>TUERCA DE G5 STD 5/8</t>
  </si>
  <si>
    <t>ARANDELA PLANA DE 5/8</t>
  </si>
  <si>
    <t>SSI</t>
  </si>
  <si>
    <t>MASCARILLA FULL FACE MOD. 3M.6800</t>
  </si>
  <si>
    <t>PAQ.C/DOS CARTUCHOS MOD.3M-6003</t>
  </si>
  <si>
    <t>ALEX/DANY</t>
  </si>
  <si>
    <t xml:space="preserve">RECARGA DE ARGON </t>
  </si>
  <si>
    <t xml:space="preserve">BEREL </t>
  </si>
  <si>
    <t>ARMAZON PARA RODILLO 4"X12"</t>
  </si>
  <si>
    <t>2 PACK FELPA ACRILICO DE 4"</t>
  </si>
  <si>
    <t>LENTES</t>
  </si>
  <si>
    <t>NOE</t>
  </si>
  <si>
    <t xml:space="preserve">GUANTES DE OPERADOR </t>
  </si>
  <si>
    <t xml:space="preserve">GUANTE NEGRO </t>
  </si>
  <si>
    <t>CANDADO DIALECTRICO</t>
  </si>
  <si>
    <t>PECHERAS</t>
  </si>
  <si>
    <t>EPP</t>
  </si>
  <si>
    <t>GUANTE SOLDADOR</t>
  </si>
  <si>
    <t xml:space="preserve">LAGACERO </t>
  </si>
  <si>
    <t>ING.ANA</t>
  </si>
  <si>
    <t xml:space="preserve">TUNGSTENO </t>
  </si>
  <si>
    <t xml:space="preserve">CUERPO PARA ANTORCHA </t>
  </si>
  <si>
    <t>ALAMBRON</t>
  </si>
  <si>
    <t xml:space="preserve">RECOCIDO </t>
  </si>
  <si>
    <t xml:space="preserve">ARQUI.JUAN </t>
  </si>
  <si>
    <t xml:space="preserve">SIBSA </t>
  </si>
  <si>
    <t>MICA REMPLAZO</t>
  </si>
  <si>
    <t xml:space="preserve">GALON DE BASE </t>
  </si>
  <si>
    <t>FASTER</t>
  </si>
  <si>
    <t xml:space="preserve">CINCHO </t>
  </si>
  <si>
    <t xml:space="preserve">SEGURO PARA EXTINTOR </t>
  </si>
  <si>
    <t xml:space="preserve">NITROGENO </t>
  </si>
  <si>
    <t xml:space="preserve">LALO </t>
  </si>
  <si>
    <t>CANAL DE 8"</t>
  </si>
  <si>
    <t>CANAL DE 4"</t>
  </si>
  <si>
    <t>BOQUILLAS CORTE</t>
  </si>
  <si>
    <t>TUNGSTENO 1/8X 7 1/2 ROJO</t>
  </si>
  <si>
    <t>DISCO PLANO CORTE DE METAL 4 1/2"</t>
  </si>
  <si>
    <t xml:space="preserve">ARGON </t>
  </si>
  <si>
    <t xml:space="preserve">cofiasa </t>
  </si>
  <si>
    <t xml:space="preserve">PLACA 1/2 4 X10 </t>
  </si>
  <si>
    <t>ING.LALO</t>
  </si>
  <si>
    <t>APLASA</t>
  </si>
  <si>
    <t xml:space="preserve">PTR3"X2" CAL 11.A  6.00 MTS </t>
  </si>
  <si>
    <t xml:space="preserve">PTR2"X2" CAL.11  A 6 MTS </t>
  </si>
  <si>
    <t>Monterrey</t>
  </si>
  <si>
    <t>REBASA</t>
  </si>
  <si>
    <t xml:space="preserve">NIPLE GALVANIZADO 2" LONGITUD DE 3" </t>
  </si>
  <si>
    <t>INSTRUMENTOS INDUSTRIALES</t>
  </si>
  <si>
    <t xml:space="preserve">JGO </t>
  </si>
  <si>
    <t xml:space="preserve">DE PEINES PARA PERNOS </t>
  </si>
  <si>
    <t>LLAVES COMB JC-20</t>
  </si>
  <si>
    <t xml:space="preserve">LLAVES DE HERRAMIENTAS </t>
  </si>
  <si>
    <t>MAESMI</t>
  </si>
  <si>
    <t>BRIDA SOLDABLE 2"</t>
  </si>
  <si>
    <t>RESPIRADOR DE MARCA 3M</t>
  </si>
  <si>
    <t xml:space="preserve">FILTRO PARTIC </t>
  </si>
  <si>
    <t xml:space="preserve">Raul Gongora </t>
  </si>
  <si>
    <t xml:space="preserve">ALAMBRE RECOCSIDO </t>
  </si>
  <si>
    <t>RECOCIDO</t>
  </si>
  <si>
    <t>ARQUI.JUAN</t>
  </si>
  <si>
    <t xml:space="preserve">ALAMBRON </t>
  </si>
  <si>
    <t xml:space="preserve">Motosierras y herramientas de Durango </t>
  </si>
  <si>
    <t xml:space="preserve">Tarjeta reguladora </t>
  </si>
  <si>
    <t>GRUPO PAPELERO CREA</t>
  </si>
  <si>
    <t xml:space="preserve">SOBRES </t>
  </si>
  <si>
    <t xml:space="preserve">CORRECTOR </t>
  </si>
  <si>
    <t>LAPICERO</t>
  </si>
  <si>
    <t>MEMORIAS USB</t>
  </si>
  <si>
    <t>ACERO PLAZA</t>
  </si>
  <si>
    <t>ÁNGULO 1/8 X 2" A-36 6.10 MTS</t>
  </si>
  <si>
    <t xml:space="preserve">OTROS SERVICIOS </t>
  </si>
  <si>
    <t>Monclova</t>
  </si>
  <si>
    <t>ferreteria Durango</t>
  </si>
  <si>
    <t xml:space="preserve">juego de llaves </t>
  </si>
  <si>
    <t xml:space="preserve">juego casero de herramientas </t>
  </si>
  <si>
    <t>HOJAS</t>
  </si>
  <si>
    <t>ANGULO 1/4 X 1 1/2 X 1 1/2</t>
  </si>
  <si>
    <t>SOLERA 1/4 X 2"</t>
  </si>
  <si>
    <t>LAMINA CALIENTE CAL.10 3X10</t>
  </si>
  <si>
    <t>ARQUI.MEDINA</t>
  </si>
  <si>
    <t>PTR 3"X2" CAL.11</t>
  </si>
  <si>
    <t>PTR 2"X2" CAL.11</t>
  </si>
  <si>
    <t xml:space="preserve">REJILLA IRVING 1/8 X 1" </t>
  </si>
  <si>
    <t>ANGULO 3/16" X 1 1/4" 6.10</t>
  </si>
  <si>
    <t>TAQUETE DE EXPANSOR 1/4</t>
  </si>
  <si>
    <t>PTR 2"X2" CAL.14</t>
  </si>
  <si>
    <t>SERVICIOS DE 100-250.00</t>
  </si>
  <si>
    <t xml:space="preserve">PARA REFUERZAS VERTICALES EN </t>
  </si>
  <si>
    <t>UNOS NIVELES</t>
  </si>
  <si>
    <t>CUBETA</t>
  </si>
  <si>
    <t>COMEX</t>
  </si>
  <si>
    <t>ENVASE</t>
  </si>
  <si>
    <t>SOLDADURA INOXIDABLE APORTE 3/32</t>
  </si>
  <si>
    <t>APORTE DE 1/8</t>
  </si>
  <si>
    <t>FILTRO</t>
  </si>
  <si>
    <t>CARETA</t>
  </si>
  <si>
    <t>CRAYON</t>
  </si>
  <si>
    <t>RECARGAS DE ACETILENO</t>
  </si>
  <si>
    <t xml:space="preserve">CINCHO TIPO COLA DE RATA </t>
  </si>
  <si>
    <t>SOPORTE PARA CINCHO0</t>
  </si>
  <si>
    <t>CEPILLO</t>
  </si>
  <si>
    <t xml:space="preserve">ALMOHADILLA </t>
  </si>
  <si>
    <t>PASTA DECAPENTE</t>
  </si>
  <si>
    <t xml:space="preserve">DISCO LAM </t>
  </si>
  <si>
    <t>CEPILLO ACERO INOXIDABLE</t>
  </si>
  <si>
    <t>VARILLA CORRUGADA 3/8</t>
  </si>
  <si>
    <t xml:space="preserve">BASE DE </t>
  </si>
  <si>
    <t xml:space="preserve">DISCOS  CORTE </t>
  </si>
  <si>
    <t>JONATHAN</t>
  </si>
  <si>
    <t xml:space="preserve">RECARGA ARGON </t>
  </si>
  <si>
    <t>LAMINA NEGRA CAL 11 4X10</t>
  </si>
  <si>
    <t>Torreon</t>
  </si>
  <si>
    <t xml:space="preserve">ECOFACTURA </t>
  </si>
  <si>
    <t>CARGAS OXIGENO</t>
  </si>
  <si>
    <t>RENTA DE TANQUES DE OXIGENO</t>
  </si>
  <si>
    <t xml:space="preserve">RECARGAA DE EXTINTOR DE POLVO </t>
  </si>
  <si>
    <t>CUBETA ESMALTE BLANCO REFRIGERADOR</t>
  </si>
  <si>
    <t>ING.CARLOS /COLEGIO AMERICANO</t>
  </si>
  <si>
    <t>CHALECO AZUL</t>
  </si>
  <si>
    <t>EPP-MARTIN LEONARDO</t>
  </si>
  <si>
    <t>EPP ARQUI GUSTAVO-LEO</t>
  </si>
  <si>
    <t>BOTAS DE TRABAJO</t>
  </si>
  <si>
    <t>PANTALON</t>
  </si>
  <si>
    <t>DAVID LARES</t>
  </si>
  <si>
    <t xml:space="preserve">DAVID LARE </t>
  </si>
  <si>
    <t>CAMISOLA</t>
  </si>
  <si>
    <t xml:space="preserve">CREA </t>
  </si>
  <si>
    <t>SOBRE 75008</t>
  </si>
  <si>
    <t xml:space="preserve">CORRECTOR BOTELLA </t>
  </si>
  <si>
    <t>OFICINA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</si>
</sst>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\$#,##0.00"/>
    <numFmt numFmtId="165" formatCode="&quot;$&quot;#,##0.00"/>
    <numFmt numFmtId="166" formatCode="[$-F800]dddd\,\ mmmm\ dd\,\ yyyy"/>
  </numFmts>
  <fonts count="17" x14ac:knownFonts="1">
    <font>
      <sz val="11"/>
      <color theme="1"/>
      <name val="Calibri"/>
      <family val="2"/>
      <scheme val="minor"/>
    </font>
    <font>
      <b/>
      <sz val="16"/>
      <color rgb="FF1A1A1A"/>
      <name val="Segoe UI"/>
      <family val="2"/>
    </font>
    <font>
      <i/>
      <sz val="10"/>
      <color rgb="FF595959"/>
      <name val="Segoe UI"/>
      <family val="2"/>
    </font>
    <font>
      <b/>
      <sz val="10"/>
      <color rgb="FF1A1A1A"/>
      <name val="Segoe UI"/>
      <family val="2"/>
    </font>
    <font>
      <b/>
      <sz val="11"/>
      <color rgb="FFFFFFFF"/>
      <name val="Segoe UI"/>
      <family val="2"/>
    </font>
    <font>
      <sz val="10"/>
      <color rgb="FF000000"/>
      <name val="Segoe UI"/>
      <family val="2"/>
    </font>
    <font>
      <b/>
      <sz val="11"/>
      <color rgb="FF1F4E79"/>
      <name val="Segoe UI"/>
      <family val="2"/>
    </font>
    <font>
      <b/>
      <sz val="14"/>
      <color rgb="FF1F4E79"/>
      <name val="Segoe UI"/>
      <family val="2"/>
    </font>
    <font>
      <b/>
      <sz val="12"/>
      <color rgb="FF2E7D32"/>
      <name val="Segoe UI"/>
      <family val="2"/>
    </font>
    <font>
      <b/>
      <sz val="10"/>
      <name val="Segoe UI"/>
      <family val="2"/>
    </font>
    <font>
      <b/>
      <sz val="10"/>
      <color rgb="FFFFFFFF"/>
      <name val="Segoe UI"/>
      <family val="2"/>
    </font>
    <font>
      <sz val="11"/>
      <color rgb="FF000000"/>
      <name val="Calibri"/>
      <family val="2"/>
    </font>
    <font>
      <sz val="10"/>
      <color rgb="FF000000"/>
      <name val="Segoe UI"/>
      <family val="2"/>
    </font>
    <font>
      <b/>
      <sz val="11"/>
      <color rgb="FFFFFFFF"/>
      <name val="Segoe UI"/>
      <family val="2"/>
    </font>
    <font>
      <b/>
      <sz val="14"/>
      <color rgb="FF1F4E79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D200"/>
        <bgColor rgb="FFFFD200"/>
      </patternFill>
    </fill>
    <fill>
      <patternFill patternType="solid">
        <fgColor rgb="FFF2F6FA"/>
        <bgColor rgb="FFF2F6FA"/>
      </patternFill>
    </fill>
    <fill>
      <patternFill patternType="solid">
        <fgColor rgb="FFFFFDE7"/>
        <bgColor rgb="FFFFFDE7"/>
      </patternFill>
    </fill>
    <fill>
      <patternFill patternType="solid">
        <fgColor theme="1"/>
        <bgColor rgb="FF1F4E79"/>
      </patternFill>
    </fill>
    <fill>
      <patternFill patternType="solid">
        <fgColor theme="0"/>
        <bgColor rgb="FF2E7D3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double">
        <color rgb="FF1F4E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3" fillId="0" borderId="0" xfId="0" applyFont="1"/>
    <xf numFmtId="0" fontId="5" fillId="0" borderId="3" xfId="0" applyFont="1" applyBorder="1" applyAlignment="1">
      <alignment horizontal="center"/>
    </xf>
    <xf numFmtId="4" fontId="5" fillId="0" borderId="3" xfId="0" applyNumberFormat="1" applyFont="1" applyBorder="1"/>
    <xf numFmtId="0" fontId="5" fillId="0" borderId="3" xfId="0" applyFont="1" applyBorder="1"/>
    <xf numFmtId="164" fontId="5" fillId="0" borderId="3" xfId="0" applyNumberFormat="1" applyFont="1" applyBorder="1"/>
    <xf numFmtId="0" fontId="5" fillId="3" borderId="3" xfId="0" applyFont="1" applyFill="1" applyBorder="1" applyAlignment="1">
      <alignment horizontal="center"/>
    </xf>
    <xf numFmtId="4" fontId="5" fillId="3" borderId="3" xfId="0" applyNumberFormat="1" applyFont="1" applyFill="1" applyBorder="1"/>
    <xf numFmtId="0" fontId="5" fillId="3" borderId="3" xfId="0" applyFont="1" applyFill="1" applyBorder="1"/>
    <xf numFmtId="164" fontId="5" fillId="3" borderId="3" xfId="0" applyNumberFormat="1" applyFont="1" applyFill="1" applyBorder="1"/>
    <xf numFmtId="0" fontId="3" fillId="4" borderId="4" xfId="0" applyFont="1" applyFill="1" applyBorder="1" applyAlignment="1">
      <alignment horizontal="right" vertical="center"/>
    </xf>
    <xf numFmtId="0" fontId="0" fillId="4" borderId="4" xfId="0" applyFill="1" applyBorder="1"/>
    <xf numFmtId="164" fontId="6" fillId="4" borderId="4" xfId="0" applyNumberFormat="1" applyFont="1" applyFill="1" applyBorder="1" applyAlignment="1">
      <alignment horizontal="right" vertical="center"/>
    </xf>
    <xf numFmtId="0" fontId="7" fillId="0" borderId="0" xfId="0" applyFont="1"/>
    <xf numFmtId="164" fontId="8" fillId="4" borderId="3" xfId="0" applyNumberFormat="1" applyFont="1" applyFill="1" applyBorder="1"/>
    <xf numFmtId="0" fontId="4" fillId="5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12" fillId="0" borderId="3" xfId="0" applyFont="1" applyBorder="1"/>
    <xf numFmtId="0" fontId="0" fillId="0" borderId="5" xfId="0" applyBorder="1"/>
    <xf numFmtId="0" fontId="4" fillId="5" borderId="5" xfId="0" applyFont="1" applyFill="1" applyBorder="1" applyAlignment="1">
      <alignment horizontal="center" vertical="center"/>
    </xf>
    <xf numFmtId="14" fontId="0" fillId="0" borderId="5" xfId="0" applyNumberFormat="1" applyBorder="1"/>
    <xf numFmtId="0" fontId="4" fillId="5" borderId="6" xfId="0" applyFont="1" applyFill="1" applyBorder="1" applyAlignment="1">
      <alignment horizontal="center" vertical="center"/>
    </xf>
    <xf numFmtId="164" fontId="8" fillId="4" borderId="5" xfId="0" applyNumberFormat="1" applyFont="1" applyFill="1" applyBorder="1"/>
    <xf numFmtId="165" fontId="0" fillId="0" borderId="5" xfId="0" applyNumberFormat="1" applyBorder="1"/>
    <xf numFmtId="0" fontId="13" fillId="5" borderId="6" xfId="0" applyFont="1" applyFill="1" applyBorder="1" applyAlignment="1">
      <alignment horizontal="center" vertical="center"/>
    </xf>
    <xf numFmtId="0" fontId="14" fillId="0" borderId="0" xfId="0" applyFont="1"/>
    <xf numFmtId="14" fontId="0" fillId="0" borderId="0" xfId="0" applyNumberFormat="1"/>
    <xf numFmtId="43" fontId="0" fillId="0" borderId="5" xfId="1" applyFont="1" applyBorder="1"/>
    <xf numFmtId="14" fontId="0" fillId="0" borderId="1" xfId="0" applyNumberFormat="1" applyBorder="1"/>
    <xf numFmtId="0" fontId="0" fillId="0" borderId="2" xfId="0" applyBorder="1"/>
    <xf numFmtId="0" fontId="0" fillId="0" borderId="1" xfId="0" applyBorder="1"/>
    <xf numFmtId="0" fontId="10" fillId="6" borderId="0" xfId="0" applyFont="1" applyFill="1" applyAlignment="1">
      <alignment horizontal="center" vertical="center" wrapText="1"/>
    </xf>
    <xf numFmtId="166" fontId="15" fillId="8" borderId="7" xfId="0" applyNumberFormat="1" applyFont="1" applyFill="1" applyBorder="1" applyAlignment="1">
      <alignment horizontal="center"/>
    </xf>
    <xf numFmtId="166" fontId="15" fillId="8" borderId="8" xfId="0" applyNumberFormat="1" applyFont="1" applyFill="1" applyBorder="1" applyAlignment="1">
      <alignment horizontal="center"/>
    </xf>
    <xf numFmtId="166" fontId="15" fillId="8" borderId="9" xfId="0" applyNumberFormat="1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</xdr:row>
          <xdr:rowOff>9525</xdr:rowOff>
        </xdr:from>
        <xdr:to>
          <xdr:col>8</xdr:col>
          <xdr:colOff>1019175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Y REGISTRAR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"/>
  <sheetViews>
    <sheetView tabSelected="1" workbookViewId="0">
      <selection activeCell="H21" sqref="H21"/>
    </sheetView>
  </sheetViews>
  <sheetFormatPr baseColWidth="10" defaultColWidth="9.140625" defaultRowHeight="15" x14ac:dyDescent="0.25"/>
  <cols>
    <col min="1" max="1" width="18.42578125" bestFit="1" customWidth="1"/>
    <col min="2" max="2" width="11" customWidth="1"/>
    <col min="3" max="3" width="19" customWidth="1"/>
    <col min="4" max="4" width="37.7109375" customWidth="1"/>
    <col min="5" max="5" width="34.42578125" bestFit="1" customWidth="1"/>
    <col min="6" max="6" width="33.7109375" bestFit="1" customWidth="1"/>
    <col min="7" max="7" width="14" customWidth="1"/>
    <col min="8" max="8" width="15" customWidth="1"/>
    <col min="9" max="9" width="16" customWidth="1"/>
  </cols>
  <sheetData>
    <row r="2" spans="1:9" ht="25.5" x14ac:dyDescent="0.5">
      <c r="B2" s="1" t="s">
        <v>28</v>
      </c>
    </row>
    <row r="3" spans="1:9" x14ac:dyDescent="0.25">
      <c r="B3" s="2" t="s">
        <v>0</v>
      </c>
    </row>
    <row r="4" spans="1:9" ht="5.0999999999999996" customHeight="1" x14ac:dyDescent="0.25">
      <c r="A4" s="3"/>
      <c r="B4" s="3"/>
      <c r="C4" s="3"/>
      <c r="D4" s="3"/>
      <c r="E4" s="3"/>
      <c r="F4" s="3"/>
      <c r="G4" s="3"/>
      <c r="H4" s="3"/>
      <c r="I4" s="3"/>
    </row>
    <row r="6" spans="1:9" x14ac:dyDescent="0.25">
      <c r="A6" s="4" t="s">
        <v>1</v>
      </c>
      <c r="B6" s="31">
        <v>46217</v>
      </c>
      <c r="C6" s="32"/>
      <c r="E6" s="4" t="s">
        <v>2</v>
      </c>
      <c r="F6" s="33" t="s">
        <v>111</v>
      </c>
      <c r="G6" s="32"/>
      <c r="H6" s="32"/>
      <c r="I6" s="34" t="s">
        <v>32</v>
      </c>
    </row>
    <row r="7" spans="1:9" x14ac:dyDescent="0.25">
      <c r="A7" s="4" t="s">
        <v>3</v>
      </c>
      <c r="B7" s="33" t="s">
        <v>388</v>
      </c>
      <c r="C7" s="32"/>
      <c r="E7" s="4" t="s">
        <v>4</v>
      </c>
      <c r="F7" s="33"/>
      <c r="G7" s="32"/>
      <c r="H7" s="32"/>
      <c r="I7" s="34"/>
    </row>
    <row r="10" spans="1:9" ht="26.1" customHeight="1" x14ac:dyDescent="0.25">
      <c r="A10" s="18" t="s">
        <v>5</v>
      </c>
      <c r="B10" s="18" t="s">
        <v>6</v>
      </c>
      <c r="C10" s="18" t="s">
        <v>7</v>
      </c>
      <c r="D10" s="18" t="s">
        <v>8</v>
      </c>
      <c r="E10" s="18" t="s">
        <v>9</v>
      </c>
      <c r="F10" s="18" t="s">
        <v>10</v>
      </c>
      <c r="G10" s="18" t="s">
        <v>11</v>
      </c>
      <c r="H10" s="18" t="s">
        <v>12</v>
      </c>
    </row>
    <row r="11" spans="1:9" ht="20.100000000000001" customHeight="1" x14ac:dyDescent="0.25">
      <c r="A11" s="5">
        <v>1</v>
      </c>
      <c r="B11" s="6">
        <v>10</v>
      </c>
      <c r="C11" s="7" t="s">
        <v>150</v>
      </c>
      <c r="D11" s="7" t="s">
        <v>389</v>
      </c>
      <c r="E11" s="7"/>
      <c r="F11" s="7" t="s">
        <v>391</v>
      </c>
      <c r="G11" s="8">
        <v>27.58</v>
      </c>
      <c r="H11" s="8">
        <f>B11*G11</f>
        <v>275.79999999999995</v>
      </c>
    </row>
    <row r="12" spans="1:9" ht="20.100000000000001" customHeight="1" x14ac:dyDescent="0.25">
      <c r="A12" s="9">
        <v>2</v>
      </c>
      <c r="B12" s="10">
        <v>1</v>
      </c>
      <c r="C12" s="11" t="s">
        <v>150</v>
      </c>
      <c r="D12" s="11" t="s">
        <v>390</v>
      </c>
      <c r="E12" s="11"/>
      <c r="F12" s="7" t="s">
        <v>391</v>
      </c>
      <c r="G12" s="12">
        <v>19.82</v>
      </c>
      <c r="H12" s="8">
        <f>B12*G12</f>
        <v>19.82</v>
      </c>
    </row>
    <row r="13" spans="1:9" ht="20.100000000000001" customHeight="1" x14ac:dyDescent="0.25">
      <c r="A13" s="5">
        <v>3</v>
      </c>
      <c r="B13" s="6">
        <v>1</v>
      </c>
      <c r="C13" s="7" t="s">
        <v>150</v>
      </c>
      <c r="D13" s="7" t="s">
        <v>328</v>
      </c>
      <c r="E13" s="11"/>
      <c r="F13" s="7" t="s">
        <v>391</v>
      </c>
      <c r="G13" s="8">
        <v>41.37</v>
      </c>
      <c r="H13" s="8">
        <f>B13*G13</f>
        <v>41.37</v>
      </c>
    </row>
    <row r="14" spans="1:9" ht="20.100000000000001" customHeight="1" x14ac:dyDescent="0.25">
      <c r="A14" s="9">
        <v>4</v>
      </c>
      <c r="B14" s="10"/>
      <c r="C14" s="11"/>
      <c r="D14" s="11"/>
      <c r="E14" s="11"/>
      <c r="F14" s="7"/>
      <c r="G14" s="12">
        <v>0</v>
      </c>
      <c r="H14" s="8">
        <f t="shared" ref="H14:H25" si="0">B14*G14</f>
        <v>0</v>
      </c>
    </row>
    <row r="15" spans="1:9" ht="20.100000000000001" customHeight="1" x14ac:dyDescent="0.25">
      <c r="A15" s="5">
        <v>5</v>
      </c>
      <c r="B15" s="6"/>
      <c r="C15" s="7"/>
      <c r="D15" s="7"/>
      <c r="E15" s="7"/>
      <c r="F15" s="7"/>
      <c r="G15" s="8">
        <v>0</v>
      </c>
      <c r="H15" s="8">
        <f t="shared" si="0"/>
        <v>0</v>
      </c>
    </row>
    <row r="16" spans="1:9" ht="20.100000000000001" customHeight="1" x14ac:dyDescent="0.25">
      <c r="A16" s="9">
        <v>6</v>
      </c>
      <c r="B16" s="10"/>
      <c r="C16" s="11"/>
      <c r="D16" s="11"/>
      <c r="E16" s="11"/>
      <c r="F16" s="7"/>
      <c r="G16" s="12"/>
      <c r="H16" s="8">
        <f t="shared" si="0"/>
        <v>0</v>
      </c>
    </row>
    <row r="17" spans="1:8" ht="20.100000000000001" customHeight="1" x14ac:dyDescent="0.25">
      <c r="A17" s="5">
        <v>7</v>
      </c>
      <c r="B17" s="6"/>
      <c r="C17" s="20"/>
      <c r="D17" s="20"/>
      <c r="E17" s="7"/>
      <c r="F17" s="20"/>
      <c r="G17" s="8"/>
      <c r="H17" s="8">
        <f t="shared" si="0"/>
        <v>0</v>
      </c>
    </row>
    <row r="18" spans="1:8" ht="20.100000000000001" customHeight="1" x14ac:dyDescent="0.25">
      <c r="A18" s="9">
        <v>8</v>
      </c>
      <c r="B18" s="10"/>
      <c r="C18" s="11"/>
      <c r="D18" s="11"/>
      <c r="E18" s="11"/>
      <c r="F18" s="11"/>
      <c r="G18" s="12"/>
      <c r="H18" s="8">
        <f t="shared" si="0"/>
        <v>0</v>
      </c>
    </row>
    <row r="19" spans="1:8" ht="20.100000000000001" customHeight="1" x14ac:dyDescent="0.25">
      <c r="A19" s="5">
        <v>9</v>
      </c>
      <c r="B19" s="6"/>
      <c r="C19" s="7"/>
      <c r="D19" s="7"/>
      <c r="E19" s="7"/>
      <c r="F19" s="7"/>
      <c r="G19" s="8"/>
      <c r="H19" s="8">
        <f t="shared" si="0"/>
        <v>0</v>
      </c>
    </row>
    <row r="20" spans="1:8" ht="20.100000000000001" customHeight="1" x14ac:dyDescent="0.25">
      <c r="A20" s="9">
        <v>10</v>
      </c>
      <c r="B20" s="10"/>
      <c r="C20" s="11"/>
      <c r="D20" s="11"/>
      <c r="E20" s="11"/>
      <c r="F20" s="11"/>
      <c r="G20" s="12"/>
      <c r="H20" s="8">
        <f t="shared" si="0"/>
        <v>0</v>
      </c>
    </row>
    <row r="21" spans="1:8" ht="20.100000000000001" customHeight="1" x14ac:dyDescent="0.25">
      <c r="A21" s="5">
        <v>11</v>
      </c>
      <c r="B21" s="6"/>
      <c r="C21" s="7"/>
      <c r="D21" s="7"/>
      <c r="E21" s="7"/>
      <c r="F21" s="7"/>
      <c r="G21" s="8"/>
      <c r="H21" s="8">
        <f t="shared" si="0"/>
        <v>0</v>
      </c>
    </row>
    <row r="22" spans="1:8" ht="20.100000000000001" customHeight="1" x14ac:dyDescent="0.25">
      <c r="A22" s="9">
        <v>12</v>
      </c>
      <c r="B22" s="10"/>
      <c r="C22" s="11"/>
      <c r="D22" s="11"/>
      <c r="E22" s="11"/>
      <c r="F22" s="11"/>
      <c r="G22" s="12"/>
      <c r="H22" s="8">
        <f t="shared" si="0"/>
        <v>0</v>
      </c>
    </row>
    <row r="23" spans="1:8" ht="20.100000000000001" customHeight="1" x14ac:dyDescent="0.25">
      <c r="A23" s="5">
        <v>13</v>
      </c>
      <c r="B23" s="6"/>
      <c r="C23" s="7"/>
      <c r="D23" s="7"/>
      <c r="E23" s="7"/>
      <c r="F23" s="7"/>
      <c r="G23" s="8"/>
      <c r="H23" s="8">
        <f t="shared" si="0"/>
        <v>0</v>
      </c>
    </row>
    <row r="24" spans="1:8" ht="20.100000000000001" customHeight="1" x14ac:dyDescent="0.25">
      <c r="A24" s="9">
        <v>14</v>
      </c>
      <c r="B24" s="10"/>
      <c r="C24" s="11"/>
      <c r="D24" s="11"/>
      <c r="E24" s="11"/>
      <c r="F24" s="11"/>
      <c r="G24" s="12"/>
      <c r="H24" s="8">
        <f t="shared" si="0"/>
        <v>0</v>
      </c>
    </row>
    <row r="25" spans="1:8" ht="20.100000000000001" customHeight="1" x14ac:dyDescent="0.25">
      <c r="A25" s="5">
        <v>15</v>
      </c>
      <c r="B25" s="6"/>
      <c r="C25" s="7"/>
      <c r="D25" s="7"/>
      <c r="E25" s="7"/>
      <c r="F25" s="7"/>
      <c r="G25" s="8"/>
      <c r="H25" s="8">
        <f t="shared" si="0"/>
        <v>0</v>
      </c>
    </row>
    <row r="26" spans="1:8" ht="24" customHeight="1" x14ac:dyDescent="0.25">
      <c r="F26" s="13" t="s">
        <v>17</v>
      </c>
      <c r="G26" s="14"/>
      <c r="H26" s="15">
        <f>SUM(H11:H25)</f>
        <v>336.98999999999995</v>
      </c>
    </row>
  </sheetData>
  <mergeCells count="5">
    <mergeCell ref="B6:C6"/>
    <mergeCell ref="F6:H6"/>
    <mergeCell ref="B7:C7"/>
    <mergeCell ref="I6:I7"/>
    <mergeCell ref="F7:H7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8</xdr:col>
                    <xdr:colOff>19050</xdr:colOff>
                    <xdr:row>5</xdr:row>
                    <xdr:rowOff>9525</xdr:rowOff>
                  </from>
                  <to>
                    <xdr:col>8</xdr:col>
                    <xdr:colOff>1019175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19"/>
  <sheetViews>
    <sheetView topLeftCell="A202" workbookViewId="0">
      <selection activeCell="A216" sqref="A216:XFD216"/>
    </sheetView>
  </sheetViews>
  <sheetFormatPr baseColWidth="10" defaultColWidth="9.140625" defaultRowHeight="15" x14ac:dyDescent="0.25"/>
  <cols>
    <col min="1" max="1" width="13" customWidth="1"/>
    <col min="2" max="2" width="15" customWidth="1"/>
    <col min="3" max="3" width="23.85546875" bestFit="1" customWidth="1"/>
    <col min="4" max="4" width="6.85546875" customWidth="1"/>
    <col min="5" max="5" width="11" customWidth="1"/>
    <col min="6" max="6" width="10" customWidth="1"/>
    <col min="7" max="7" width="45.42578125" bestFit="1" customWidth="1"/>
    <col min="8" max="8" width="26.7109375" customWidth="1"/>
    <col min="9" max="9" width="25" customWidth="1"/>
    <col min="10" max="10" width="16.140625" bestFit="1" customWidth="1"/>
    <col min="11" max="11" width="15" customWidth="1"/>
  </cols>
  <sheetData>
    <row r="1" spans="1:11" ht="26.1" customHeight="1" x14ac:dyDescent="0.25">
      <c r="A1" s="19" t="s">
        <v>18</v>
      </c>
      <c r="B1" s="19" t="s">
        <v>19</v>
      </c>
      <c r="C1" s="19" t="s">
        <v>20</v>
      </c>
      <c r="D1" s="19" t="s">
        <v>5</v>
      </c>
      <c r="E1" s="19" t="s">
        <v>6</v>
      </c>
      <c r="F1" s="19" t="s">
        <v>7</v>
      </c>
      <c r="G1" s="19" t="s">
        <v>8</v>
      </c>
      <c r="H1" s="19" t="s">
        <v>21</v>
      </c>
      <c r="I1" s="19" t="s">
        <v>22</v>
      </c>
      <c r="J1" s="19" t="s">
        <v>11</v>
      </c>
      <c r="K1" s="19" t="s">
        <v>12</v>
      </c>
    </row>
    <row r="2" spans="1:11" x14ac:dyDescent="0.25">
      <c r="A2" s="23">
        <v>46176</v>
      </c>
      <c r="B2" s="21" t="s">
        <v>43</v>
      </c>
      <c r="C2" s="21" t="s">
        <v>34</v>
      </c>
      <c r="D2" s="21">
        <v>1</v>
      </c>
      <c r="E2" s="21">
        <v>10</v>
      </c>
      <c r="F2" s="21" t="s">
        <v>37</v>
      </c>
      <c r="G2" s="21" t="s">
        <v>38</v>
      </c>
      <c r="H2" s="21"/>
      <c r="I2" s="21"/>
      <c r="J2" s="26">
        <v>105.49072</v>
      </c>
      <c r="K2" s="26">
        <v>1054.9071999999999</v>
      </c>
    </row>
    <row r="3" spans="1:11" x14ac:dyDescent="0.25">
      <c r="A3" s="23">
        <v>46176</v>
      </c>
      <c r="B3" s="21" t="s">
        <v>43</v>
      </c>
      <c r="C3" s="21" t="s">
        <v>34</v>
      </c>
      <c r="D3" s="21">
        <v>2</v>
      </c>
      <c r="E3" s="21">
        <v>10</v>
      </c>
      <c r="F3" s="21" t="s">
        <v>13</v>
      </c>
      <c r="G3" s="21" t="s">
        <v>39</v>
      </c>
      <c r="H3" s="21"/>
      <c r="I3" s="21"/>
      <c r="J3" s="26">
        <v>51.34</v>
      </c>
      <c r="K3" s="26">
        <v>513.40000000000009</v>
      </c>
    </row>
    <row r="4" spans="1:11" x14ac:dyDescent="0.25">
      <c r="A4" s="23">
        <v>46176</v>
      </c>
      <c r="B4" s="21" t="s">
        <v>43</v>
      </c>
      <c r="C4" s="21" t="s">
        <v>34</v>
      </c>
      <c r="D4" s="21">
        <v>3</v>
      </c>
      <c r="E4" s="21">
        <v>10</v>
      </c>
      <c r="F4" s="21" t="s">
        <v>35</v>
      </c>
      <c r="G4" s="21" t="s">
        <v>40</v>
      </c>
      <c r="H4" s="21"/>
      <c r="I4" s="21"/>
      <c r="J4" s="26">
        <v>37.21</v>
      </c>
      <c r="K4" s="26">
        <v>372.1</v>
      </c>
    </row>
    <row r="5" spans="1:11" x14ac:dyDescent="0.25">
      <c r="A5" s="23">
        <v>46176</v>
      </c>
      <c r="B5" s="21" t="s">
        <v>43</v>
      </c>
      <c r="C5" s="21" t="s">
        <v>34</v>
      </c>
      <c r="D5" s="21">
        <v>4</v>
      </c>
      <c r="E5" s="21">
        <v>10</v>
      </c>
      <c r="F5" s="21" t="s">
        <v>35</v>
      </c>
      <c r="G5" s="21" t="s">
        <v>41</v>
      </c>
      <c r="H5" s="21"/>
      <c r="I5" s="21"/>
      <c r="J5" s="26">
        <v>28.51</v>
      </c>
      <c r="K5" s="26">
        <v>285.10000000000002</v>
      </c>
    </row>
    <row r="6" spans="1:11" x14ac:dyDescent="0.25">
      <c r="A6" s="23">
        <v>46176</v>
      </c>
      <c r="B6" s="21" t="s">
        <v>43</v>
      </c>
      <c r="C6" s="21" t="s">
        <v>34</v>
      </c>
      <c r="D6" s="21">
        <v>5</v>
      </c>
      <c r="E6" s="21">
        <v>300</v>
      </c>
      <c r="F6" s="21" t="s">
        <v>36</v>
      </c>
      <c r="G6" s="21" t="s">
        <v>42</v>
      </c>
      <c r="H6" s="21"/>
      <c r="I6" s="21"/>
      <c r="J6" s="26">
        <v>36.729999999999997</v>
      </c>
      <c r="K6" s="26">
        <v>11018.999999999998</v>
      </c>
    </row>
    <row r="7" spans="1:11" x14ac:dyDescent="0.25">
      <c r="A7" s="23">
        <v>46181</v>
      </c>
      <c r="B7" s="21" t="s">
        <v>43</v>
      </c>
      <c r="C7" s="21" t="s">
        <v>48</v>
      </c>
      <c r="D7" s="21">
        <v>1</v>
      </c>
      <c r="E7" s="21">
        <v>4</v>
      </c>
      <c r="F7" s="21" t="s">
        <v>45</v>
      </c>
      <c r="G7" s="21" t="s">
        <v>49</v>
      </c>
      <c r="H7" s="21"/>
      <c r="I7" s="21"/>
      <c r="J7" s="26">
        <v>16.38</v>
      </c>
      <c r="K7" s="26">
        <v>65.52</v>
      </c>
    </row>
    <row r="8" spans="1:11" x14ac:dyDescent="0.25">
      <c r="A8" s="23">
        <v>46182</v>
      </c>
      <c r="B8" s="21" t="s">
        <v>43</v>
      </c>
      <c r="C8" s="21" t="s">
        <v>50</v>
      </c>
      <c r="D8" s="21">
        <v>1</v>
      </c>
      <c r="E8" s="21">
        <v>2</v>
      </c>
      <c r="F8" s="21" t="s">
        <v>45</v>
      </c>
      <c r="G8" s="21" t="s">
        <v>53</v>
      </c>
      <c r="H8" s="21"/>
      <c r="I8" s="21"/>
      <c r="J8" s="26">
        <v>25</v>
      </c>
      <c r="K8" s="26">
        <v>50</v>
      </c>
    </row>
    <row r="9" spans="1:11" x14ac:dyDescent="0.25">
      <c r="A9" s="23">
        <v>46182</v>
      </c>
      <c r="B9" s="21" t="s">
        <v>43</v>
      </c>
      <c r="C9" s="21" t="s">
        <v>50</v>
      </c>
      <c r="D9" s="21">
        <v>2</v>
      </c>
      <c r="E9" s="21">
        <v>8</v>
      </c>
      <c r="F9" s="21" t="s">
        <v>45</v>
      </c>
      <c r="G9" s="21" t="s">
        <v>52</v>
      </c>
      <c r="H9" s="21" t="s">
        <v>54</v>
      </c>
      <c r="I9" s="21"/>
      <c r="J9" s="26">
        <v>120</v>
      </c>
      <c r="K9" s="26">
        <v>960</v>
      </c>
    </row>
    <row r="10" spans="1:11" x14ac:dyDescent="0.25">
      <c r="A10" s="23">
        <v>46182</v>
      </c>
      <c r="B10" s="21" t="s">
        <v>43</v>
      </c>
      <c r="C10" s="21" t="s">
        <v>50</v>
      </c>
      <c r="D10" s="21">
        <v>3</v>
      </c>
      <c r="E10" s="21">
        <v>9</v>
      </c>
      <c r="F10" s="21" t="s">
        <v>45</v>
      </c>
      <c r="G10" s="21" t="s">
        <v>51</v>
      </c>
      <c r="H10" s="21" t="s">
        <v>54</v>
      </c>
      <c r="I10" s="21"/>
      <c r="J10" s="26">
        <v>251</v>
      </c>
      <c r="K10" s="26">
        <v>2259</v>
      </c>
    </row>
    <row r="11" spans="1:11" x14ac:dyDescent="0.25">
      <c r="A11" s="23">
        <v>46182</v>
      </c>
      <c r="B11" s="21" t="s">
        <v>43</v>
      </c>
      <c r="C11" s="21" t="s">
        <v>119</v>
      </c>
      <c r="D11" s="21">
        <v>1</v>
      </c>
      <c r="E11" s="21">
        <v>2</v>
      </c>
      <c r="F11" s="21" t="s">
        <v>120</v>
      </c>
      <c r="G11" s="21" t="s">
        <v>121</v>
      </c>
      <c r="H11" s="21"/>
      <c r="I11" s="21"/>
      <c r="J11" s="26">
        <v>3502</v>
      </c>
      <c r="K11" s="26">
        <v>7004</v>
      </c>
    </row>
    <row r="12" spans="1:11" x14ac:dyDescent="0.25">
      <c r="A12" s="23">
        <v>46182</v>
      </c>
      <c r="B12" s="21" t="s">
        <v>76</v>
      </c>
      <c r="C12" s="21" t="s">
        <v>119</v>
      </c>
      <c r="D12" s="21">
        <v>1</v>
      </c>
      <c r="E12" s="21">
        <v>40</v>
      </c>
      <c r="F12" s="21" t="s">
        <v>65</v>
      </c>
      <c r="G12" s="21" t="s">
        <v>123</v>
      </c>
      <c r="H12" s="21"/>
      <c r="I12" s="21" t="s">
        <v>124</v>
      </c>
      <c r="J12" s="26">
        <v>65.52</v>
      </c>
      <c r="K12" s="26">
        <v>2620.7999999999997</v>
      </c>
    </row>
    <row r="13" spans="1:11" x14ac:dyDescent="0.25">
      <c r="A13" s="23">
        <v>46182</v>
      </c>
      <c r="B13" s="21" t="s">
        <v>76</v>
      </c>
      <c r="C13" s="21" t="s">
        <v>119</v>
      </c>
      <c r="D13" s="21">
        <v>2</v>
      </c>
      <c r="E13" s="21">
        <v>20</v>
      </c>
      <c r="F13" s="21" t="s">
        <v>125</v>
      </c>
      <c r="G13" s="21" t="s">
        <v>126</v>
      </c>
      <c r="H13" s="21"/>
      <c r="I13" s="21" t="s">
        <v>127</v>
      </c>
      <c r="J13" s="26">
        <v>58.62</v>
      </c>
      <c r="K13" s="26">
        <v>1172.3999999999999</v>
      </c>
    </row>
    <row r="14" spans="1:11" x14ac:dyDescent="0.25">
      <c r="A14" s="23">
        <v>46182</v>
      </c>
      <c r="B14" s="21" t="s">
        <v>76</v>
      </c>
      <c r="C14" s="21" t="s">
        <v>119</v>
      </c>
      <c r="D14" s="21">
        <v>3</v>
      </c>
      <c r="E14" s="21">
        <v>20</v>
      </c>
      <c r="F14" s="21" t="s">
        <v>45</v>
      </c>
      <c r="G14" s="21" t="s">
        <v>128</v>
      </c>
      <c r="H14" s="21"/>
      <c r="I14" s="21" t="s">
        <v>127</v>
      </c>
      <c r="J14" s="26">
        <v>22.41</v>
      </c>
      <c r="K14" s="26">
        <v>448.2</v>
      </c>
    </row>
    <row r="15" spans="1:11" x14ac:dyDescent="0.25">
      <c r="A15" s="23">
        <v>46182</v>
      </c>
      <c r="B15" s="21" t="s">
        <v>76</v>
      </c>
      <c r="C15" s="21" t="s">
        <v>119</v>
      </c>
      <c r="D15" s="21">
        <v>4</v>
      </c>
      <c r="E15" s="21">
        <v>5</v>
      </c>
      <c r="F15" s="21" t="s">
        <v>45</v>
      </c>
      <c r="G15" s="21" t="s">
        <v>129</v>
      </c>
      <c r="H15" s="21"/>
      <c r="I15" s="21" t="s">
        <v>111</v>
      </c>
      <c r="J15" s="26">
        <v>73.709999999999994</v>
      </c>
      <c r="K15" s="26">
        <v>368.54999999999995</v>
      </c>
    </row>
    <row r="16" spans="1:11" x14ac:dyDescent="0.25">
      <c r="A16" s="23">
        <v>46182</v>
      </c>
      <c r="B16" s="21" t="s">
        <v>76</v>
      </c>
      <c r="C16" s="21" t="s">
        <v>119</v>
      </c>
      <c r="D16" s="21">
        <v>5</v>
      </c>
      <c r="E16" s="21">
        <v>10</v>
      </c>
      <c r="F16" s="21" t="s">
        <v>45</v>
      </c>
      <c r="G16" s="21" t="s">
        <v>130</v>
      </c>
      <c r="H16" s="21"/>
      <c r="I16" s="21" t="s">
        <v>111</v>
      </c>
      <c r="J16" s="26">
        <v>73.28</v>
      </c>
      <c r="K16" s="26">
        <v>732.8</v>
      </c>
    </row>
    <row r="17" spans="1:11" x14ac:dyDescent="0.25">
      <c r="A17" s="23">
        <v>46182</v>
      </c>
      <c r="B17" s="21" t="s">
        <v>76</v>
      </c>
      <c r="C17" s="21" t="s">
        <v>119</v>
      </c>
      <c r="D17" s="21">
        <v>6</v>
      </c>
      <c r="E17" s="21">
        <v>2</v>
      </c>
      <c r="F17" s="21" t="s">
        <v>120</v>
      </c>
      <c r="G17" s="21" t="s">
        <v>131</v>
      </c>
      <c r="H17" s="21"/>
      <c r="I17" s="21" t="s">
        <v>111</v>
      </c>
      <c r="J17" s="26">
        <v>321.3</v>
      </c>
      <c r="K17" s="26">
        <v>642.6</v>
      </c>
    </row>
    <row r="18" spans="1:11" x14ac:dyDescent="0.25">
      <c r="A18" s="23">
        <v>46183</v>
      </c>
      <c r="B18" s="21" t="s">
        <v>43</v>
      </c>
      <c r="C18" s="21" t="s">
        <v>56</v>
      </c>
      <c r="D18" s="21">
        <v>1</v>
      </c>
      <c r="E18" s="21">
        <v>17</v>
      </c>
      <c r="F18" s="21" t="s">
        <v>45</v>
      </c>
      <c r="G18" s="21" t="s">
        <v>57</v>
      </c>
      <c r="H18" s="21"/>
      <c r="I18" s="21"/>
      <c r="J18" s="26">
        <v>35</v>
      </c>
      <c r="K18" s="26">
        <v>595</v>
      </c>
    </row>
    <row r="19" spans="1:11" x14ac:dyDescent="0.25">
      <c r="A19" s="23">
        <v>46183</v>
      </c>
      <c r="B19" s="21" t="s">
        <v>43</v>
      </c>
      <c r="C19" s="21" t="s">
        <v>58</v>
      </c>
      <c r="D19" s="21">
        <v>1</v>
      </c>
      <c r="E19" s="21">
        <v>10</v>
      </c>
      <c r="F19" s="21" t="s">
        <v>45</v>
      </c>
      <c r="G19" s="21" t="s">
        <v>59</v>
      </c>
      <c r="H19" s="21"/>
      <c r="I19" s="21"/>
      <c r="J19" s="26">
        <v>22.41</v>
      </c>
      <c r="K19" s="26">
        <v>224.1</v>
      </c>
    </row>
    <row r="20" spans="1:11" x14ac:dyDescent="0.25">
      <c r="A20" s="23">
        <v>46183</v>
      </c>
      <c r="B20" s="21" t="s">
        <v>43</v>
      </c>
      <c r="C20" s="21" t="s">
        <v>58</v>
      </c>
      <c r="D20" s="21">
        <v>2</v>
      </c>
      <c r="E20" s="21">
        <v>20</v>
      </c>
      <c r="F20" s="21" t="s">
        <v>45</v>
      </c>
      <c r="G20" s="21" t="s">
        <v>60</v>
      </c>
      <c r="H20" s="21"/>
      <c r="I20" s="21"/>
      <c r="J20" s="26">
        <v>47.84</v>
      </c>
      <c r="K20" s="26">
        <v>956.80000000000007</v>
      </c>
    </row>
    <row r="21" spans="1:11" x14ac:dyDescent="0.25">
      <c r="A21" s="23">
        <v>46183</v>
      </c>
      <c r="B21" s="21" t="s">
        <v>98</v>
      </c>
      <c r="C21" s="21" t="s">
        <v>84</v>
      </c>
      <c r="D21" s="21">
        <v>1</v>
      </c>
      <c r="E21" s="21">
        <v>1</v>
      </c>
      <c r="F21" s="21" t="s">
        <v>87</v>
      </c>
      <c r="G21" s="21" t="s">
        <v>85</v>
      </c>
      <c r="H21" s="21" t="s">
        <v>86</v>
      </c>
      <c r="I21" s="21"/>
      <c r="J21" s="26">
        <v>3060</v>
      </c>
      <c r="K21" s="26">
        <v>3060</v>
      </c>
    </row>
    <row r="22" spans="1:11" x14ac:dyDescent="0.25">
      <c r="A22" s="23">
        <v>46183</v>
      </c>
      <c r="B22" s="21" t="s">
        <v>98</v>
      </c>
      <c r="C22" s="21" t="s">
        <v>84</v>
      </c>
      <c r="D22" s="21">
        <v>2</v>
      </c>
      <c r="E22" s="21">
        <v>1</v>
      </c>
      <c r="F22" s="21" t="s">
        <v>88</v>
      </c>
      <c r="G22" s="21" t="s">
        <v>89</v>
      </c>
      <c r="H22" s="21" t="s">
        <v>90</v>
      </c>
      <c r="I22" s="21"/>
      <c r="J22" s="26">
        <v>1122.53</v>
      </c>
      <c r="K22" s="26">
        <v>1122.53</v>
      </c>
    </row>
    <row r="23" spans="1:11" x14ac:dyDescent="0.25">
      <c r="A23" s="23">
        <v>46183</v>
      </c>
      <c r="B23" s="21" t="s">
        <v>98</v>
      </c>
      <c r="C23" s="21" t="s">
        <v>84</v>
      </c>
      <c r="D23" s="21">
        <v>3</v>
      </c>
      <c r="E23" s="21">
        <v>1</v>
      </c>
      <c r="F23" s="21" t="s">
        <v>88</v>
      </c>
      <c r="G23" s="21" t="s">
        <v>91</v>
      </c>
      <c r="H23" s="21"/>
      <c r="I23" s="21"/>
      <c r="J23" s="26">
        <v>1263.54</v>
      </c>
      <c r="K23" s="26">
        <v>1263.54</v>
      </c>
    </row>
    <row r="24" spans="1:11" x14ac:dyDescent="0.25">
      <c r="A24" s="23">
        <v>46183</v>
      </c>
      <c r="B24" s="21" t="s">
        <v>98</v>
      </c>
      <c r="C24" s="21" t="s">
        <v>84</v>
      </c>
      <c r="D24" s="21">
        <v>4</v>
      </c>
      <c r="E24" s="21">
        <v>5</v>
      </c>
      <c r="F24" s="21" t="s">
        <v>92</v>
      </c>
      <c r="G24" s="21" t="s">
        <v>93</v>
      </c>
      <c r="H24" s="21" t="s">
        <v>94</v>
      </c>
      <c r="I24" s="21"/>
      <c r="J24" s="26">
        <v>518</v>
      </c>
      <c r="K24" s="26">
        <v>2590</v>
      </c>
    </row>
    <row r="25" spans="1:11" x14ac:dyDescent="0.25">
      <c r="A25" s="23">
        <v>46183</v>
      </c>
      <c r="B25" s="21" t="s">
        <v>98</v>
      </c>
      <c r="C25" s="21" t="s">
        <v>84</v>
      </c>
      <c r="D25" s="21">
        <v>5</v>
      </c>
      <c r="E25" s="21">
        <v>6</v>
      </c>
      <c r="F25" s="21" t="s">
        <v>95</v>
      </c>
      <c r="G25" s="21" t="s">
        <v>96</v>
      </c>
      <c r="H25" s="21" t="s">
        <v>97</v>
      </c>
      <c r="I25" s="21"/>
      <c r="J25" s="26">
        <v>864.29</v>
      </c>
      <c r="K25" s="26">
        <v>5185.74</v>
      </c>
    </row>
    <row r="26" spans="1:11" x14ac:dyDescent="0.25">
      <c r="A26" s="23">
        <v>46184</v>
      </c>
      <c r="B26" s="21" t="s">
        <v>43</v>
      </c>
      <c r="C26" s="21" t="s">
        <v>50</v>
      </c>
      <c r="D26" s="21">
        <v>1</v>
      </c>
      <c r="E26" s="21">
        <v>3</v>
      </c>
      <c r="F26" s="21" t="s">
        <v>45</v>
      </c>
      <c r="G26" s="21" t="s">
        <v>55</v>
      </c>
      <c r="H26" s="21"/>
      <c r="I26" s="21"/>
      <c r="J26" s="26">
        <v>85.004999999999995</v>
      </c>
      <c r="K26" s="26">
        <v>255.01499999999999</v>
      </c>
    </row>
    <row r="27" spans="1:11" x14ac:dyDescent="0.25">
      <c r="A27" s="23">
        <v>46185</v>
      </c>
      <c r="B27" s="21" t="s">
        <v>43</v>
      </c>
      <c r="C27" s="21" t="s">
        <v>44</v>
      </c>
      <c r="D27" s="21">
        <v>1</v>
      </c>
      <c r="E27" s="21">
        <v>3</v>
      </c>
      <c r="F27" s="21" t="s">
        <v>45</v>
      </c>
      <c r="G27" s="21" t="s">
        <v>46</v>
      </c>
      <c r="H27" s="21"/>
      <c r="I27" s="21"/>
      <c r="J27" s="26">
        <v>69.989999999999995</v>
      </c>
      <c r="K27" s="26">
        <v>209.96999999999997</v>
      </c>
    </row>
    <row r="28" spans="1:11" x14ac:dyDescent="0.25">
      <c r="A28" s="23">
        <v>46185</v>
      </c>
      <c r="B28" s="21" t="s">
        <v>43</v>
      </c>
      <c r="C28" s="21" t="s">
        <v>44</v>
      </c>
      <c r="D28" s="21">
        <v>2</v>
      </c>
      <c r="E28" s="21">
        <v>2</v>
      </c>
      <c r="F28" s="21" t="s">
        <v>45</v>
      </c>
      <c r="G28" s="21" t="s">
        <v>47</v>
      </c>
      <c r="H28" s="21"/>
      <c r="I28" s="21"/>
      <c r="J28" s="26">
        <v>388.99</v>
      </c>
      <c r="K28" s="26">
        <v>777.98</v>
      </c>
    </row>
    <row r="29" spans="1:11" x14ac:dyDescent="0.25">
      <c r="A29" s="23">
        <v>46186</v>
      </c>
      <c r="B29" s="21" t="s">
        <v>43</v>
      </c>
      <c r="C29" s="21" t="s">
        <v>58</v>
      </c>
      <c r="D29" s="21">
        <v>1</v>
      </c>
      <c r="E29" s="21">
        <v>20</v>
      </c>
      <c r="F29" s="21" t="s">
        <v>125</v>
      </c>
      <c r="G29" s="21" t="s">
        <v>136</v>
      </c>
      <c r="H29" s="21"/>
      <c r="I29" s="21"/>
      <c r="J29" s="26">
        <v>65.52</v>
      </c>
      <c r="K29" s="26">
        <v>1310.3999999999999</v>
      </c>
    </row>
    <row r="30" spans="1:11" x14ac:dyDescent="0.25">
      <c r="A30" s="23">
        <v>46186</v>
      </c>
      <c r="B30" s="21" t="s">
        <v>76</v>
      </c>
      <c r="C30" s="21" t="s">
        <v>58</v>
      </c>
      <c r="D30" s="21">
        <v>1</v>
      </c>
      <c r="E30" s="21">
        <v>20</v>
      </c>
      <c r="F30" s="21" t="s">
        <v>125</v>
      </c>
      <c r="G30" s="21" t="s">
        <v>136</v>
      </c>
      <c r="H30" s="21"/>
      <c r="I30" s="21"/>
      <c r="J30" s="26">
        <v>65.52</v>
      </c>
      <c r="K30" s="26">
        <v>1310.3999999999999</v>
      </c>
    </row>
    <row r="31" spans="1:11" x14ac:dyDescent="0.25">
      <c r="A31" s="23">
        <v>46186</v>
      </c>
      <c r="B31" s="21" t="s">
        <v>76</v>
      </c>
      <c r="C31" s="21" t="s">
        <v>58</v>
      </c>
      <c r="D31" s="21">
        <v>2</v>
      </c>
      <c r="E31" s="21">
        <v>20</v>
      </c>
      <c r="F31" s="21" t="s">
        <v>125</v>
      </c>
      <c r="G31" s="21" t="s">
        <v>137</v>
      </c>
      <c r="H31" s="21"/>
      <c r="I31" s="21" t="s">
        <v>138</v>
      </c>
      <c r="J31" s="26">
        <v>63.79</v>
      </c>
      <c r="K31" s="26">
        <v>1275.8</v>
      </c>
    </row>
    <row r="32" spans="1:11" x14ac:dyDescent="0.25">
      <c r="A32" s="23">
        <v>46186</v>
      </c>
      <c r="B32" s="21" t="s">
        <v>76</v>
      </c>
      <c r="C32" s="21" t="s">
        <v>58</v>
      </c>
      <c r="D32" s="21">
        <v>3</v>
      </c>
      <c r="E32" s="21">
        <v>40</v>
      </c>
      <c r="F32" s="21" t="s">
        <v>125</v>
      </c>
      <c r="G32" s="21" t="s">
        <v>139</v>
      </c>
      <c r="H32" s="21"/>
      <c r="I32" s="21" t="s">
        <v>138</v>
      </c>
      <c r="J32" s="26">
        <v>58.62</v>
      </c>
      <c r="K32" s="26">
        <v>2344.7999999999997</v>
      </c>
    </row>
    <row r="33" spans="1:11" x14ac:dyDescent="0.25">
      <c r="A33" s="23">
        <v>46186</v>
      </c>
      <c r="B33" s="21" t="s">
        <v>76</v>
      </c>
      <c r="C33" s="21" t="s">
        <v>58</v>
      </c>
      <c r="D33" s="21">
        <v>4</v>
      </c>
      <c r="E33" s="21">
        <v>15</v>
      </c>
      <c r="F33" s="21" t="s">
        <v>45</v>
      </c>
      <c r="G33" s="21" t="s">
        <v>140</v>
      </c>
      <c r="H33" s="21"/>
      <c r="I33" s="21"/>
      <c r="J33" s="26">
        <v>22.41</v>
      </c>
      <c r="K33" s="26">
        <v>336.15</v>
      </c>
    </row>
    <row r="34" spans="1:11" x14ac:dyDescent="0.25">
      <c r="A34" s="23">
        <v>46186</v>
      </c>
      <c r="B34" s="21" t="s">
        <v>76</v>
      </c>
      <c r="C34" s="21" t="s">
        <v>58</v>
      </c>
      <c r="D34" s="21">
        <v>5</v>
      </c>
      <c r="E34" s="21">
        <v>15</v>
      </c>
      <c r="F34" s="21" t="s">
        <v>45</v>
      </c>
      <c r="G34" s="21" t="s">
        <v>141</v>
      </c>
      <c r="H34" s="21"/>
      <c r="I34" s="21"/>
      <c r="J34" s="26">
        <v>73.709999999999994</v>
      </c>
      <c r="K34" s="26">
        <v>1105.6499999999999</v>
      </c>
    </row>
    <row r="35" spans="1:11" x14ac:dyDescent="0.25">
      <c r="A35" s="23">
        <v>46186</v>
      </c>
      <c r="B35" s="21" t="s">
        <v>76</v>
      </c>
      <c r="C35" s="21" t="s">
        <v>58</v>
      </c>
      <c r="D35" s="21">
        <v>6</v>
      </c>
      <c r="E35" s="21">
        <v>10</v>
      </c>
      <c r="F35" s="21" t="s">
        <v>45</v>
      </c>
      <c r="G35" s="21" t="s">
        <v>142</v>
      </c>
      <c r="H35" s="21"/>
      <c r="I35" s="21"/>
      <c r="J35" s="26">
        <v>47.84</v>
      </c>
      <c r="K35" s="26">
        <v>478.40000000000003</v>
      </c>
    </row>
    <row r="36" spans="1:11" x14ac:dyDescent="0.25">
      <c r="A36" s="23">
        <v>46186</v>
      </c>
      <c r="B36" s="21" t="s">
        <v>76</v>
      </c>
      <c r="C36" s="21" t="s">
        <v>58</v>
      </c>
      <c r="D36" s="21">
        <v>7</v>
      </c>
      <c r="E36" s="21">
        <v>3</v>
      </c>
      <c r="F36" s="21" t="s">
        <v>120</v>
      </c>
      <c r="G36" s="21" t="s">
        <v>143</v>
      </c>
      <c r="H36" s="21"/>
      <c r="I36" s="21" t="s">
        <v>144</v>
      </c>
      <c r="J36" s="26">
        <v>321.3</v>
      </c>
      <c r="K36" s="26">
        <v>963.90000000000009</v>
      </c>
    </row>
    <row r="37" spans="1:11" x14ac:dyDescent="0.25">
      <c r="A37" s="23">
        <v>46190</v>
      </c>
      <c r="B37" s="21" t="s">
        <v>43</v>
      </c>
      <c r="C37" s="21" t="s">
        <v>62</v>
      </c>
      <c r="D37" s="21">
        <v>1</v>
      </c>
      <c r="E37" s="21">
        <v>3</v>
      </c>
      <c r="F37" s="21" t="s">
        <v>45</v>
      </c>
      <c r="G37" s="21" t="s">
        <v>63</v>
      </c>
      <c r="H37" s="21"/>
      <c r="I37" s="21"/>
      <c r="J37" s="26">
        <v>145</v>
      </c>
      <c r="K37" s="26">
        <v>435</v>
      </c>
    </row>
    <row r="38" spans="1:11" x14ac:dyDescent="0.25">
      <c r="A38" s="23">
        <v>46190</v>
      </c>
      <c r="B38" s="21" t="s">
        <v>76</v>
      </c>
      <c r="C38" s="21" t="s">
        <v>78</v>
      </c>
      <c r="D38" s="21">
        <v>1</v>
      </c>
      <c r="E38" s="21">
        <v>19</v>
      </c>
      <c r="F38" s="21" t="s">
        <v>79</v>
      </c>
      <c r="G38" s="21" t="s">
        <v>80</v>
      </c>
      <c r="H38" s="21"/>
      <c r="I38" s="21"/>
      <c r="J38" s="26">
        <v>88.4</v>
      </c>
      <c r="K38" s="26">
        <v>1679.6000000000001</v>
      </c>
    </row>
    <row r="39" spans="1:11" x14ac:dyDescent="0.25">
      <c r="A39" s="23">
        <v>46190</v>
      </c>
      <c r="B39" s="21" t="s">
        <v>98</v>
      </c>
      <c r="C39" s="21" t="s">
        <v>99</v>
      </c>
      <c r="D39" s="21">
        <v>1</v>
      </c>
      <c r="E39" s="21">
        <v>3</v>
      </c>
      <c r="F39" s="21" t="s">
        <v>45</v>
      </c>
      <c r="G39" s="21" t="s">
        <v>100</v>
      </c>
      <c r="H39" s="21"/>
      <c r="I39" s="21"/>
      <c r="J39" s="26">
        <v>125</v>
      </c>
      <c r="K39" s="26">
        <v>375</v>
      </c>
    </row>
    <row r="40" spans="1:11" x14ac:dyDescent="0.25">
      <c r="A40" s="23">
        <v>46190</v>
      </c>
      <c r="B40" s="21" t="s">
        <v>98</v>
      </c>
      <c r="C40" s="21" t="s">
        <v>99</v>
      </c>
      <c r="D40" s="21">
        <v>2</v>
      </c>
      <c r="E40" s="21">
        <v>2</v>
      </c>
      <c r="F40" s="21" t="s">
        <v>101</v>
      </c>
      <c r="G40" s="21" t="s">
        <v>102</v>
      </c>
      <c r="H40" s="21"/>
      <c r="I40" s="21"/>
      <c r="J40" s="26">
        <v>340</v>
      </c>
      <c r="K40" s="26">
        <v>680</v>
      </c>
    </row>
    <row r="41" spans="1:11" x14ac:dyDescent="0.25">
      <c r="A41" s="23">
        <v>46190</v>
      </c>
      <c r="B41" s="21" t="s">
        <v>98</v>
      </c>
      <c r="C41" s="21" t="s">
        <v>99</v>
      </c>
      <c r="D41" s="21">
        <v>3</v>
      </c>
      <c r="E41" s="21">
        <v>2</v>
      </c>
      <c r="F41" s="21" t="s">
        <v>45</v>
      </c>
      <c r="G41" s="21" t="s">
        <v>103</v>
      </c>
      <c r="H41" s="21"/>
      <c r="I41" s="21"/>
      <c r="J41" s="26">
        <v>98</v>
      </c>
      <c r="K41" s="26">
        <v>196</v>
      </c>
    </row>
    <row r="42" spans="1:11" x14ac:dyDescent="0.25">
      <c r="A42" s="23">
        <v>46190</v>
      </c>
      <c r="B42" s="21" t="s">
        <v>98</v>
      </c>
      <c r="C42" s="21" t="s">
        <v>99</v>
      </c>
      <c r="D42" s="21">
        <v>4</v>
      </c>
      <c r="E42" s="21">
        <v>2</v>
      </c>
      <c r="F42" s="21" t="s">
        <v>45</v>
      </c>
      <c r="G42" s="21" t="s">
        <v>104</v>
      </c>
      <c r="H42" s="21"/>
      <c r="I42" s="21"/>
      <c r="J42" s="26">
        <v>45</v>
      </c>
      <c r="K42" s="26">
        <v>90</v>
      </c>
    </row>
    <row r="43" spans="1:11" x14ac:dyDescent="0.25">
      <c r="A43" s="23">
        <v>46190</v>
      </c>
      <c r="B43" s="21" t="s">
        <v>98</v>
      </c>
      <c r="C43" s="21" t="s">
        <v>108</v>
      </c>
      <c r="D43" s="21">
        <v>1</v>
      </c>
      <c r="E43" s="21">
        <v>5</v>
      </c>
      <c r="F43" s="21" t="s">
        <v>45</v>
      </c>
      <c r="G43" s="21" t="s">
        <v>105</v>
      </c>
      <c r="H43" s="21"/>
      <c r="I43" s="21"/>
      <c r="J43" s="26">
        <v>70.599999999999994</v>
      </c>
      <c r="K43" s="26">
        <v>353</v>
      </c>
    </row>
    <row r="44" spans="1:11" x14ac:dyDescent="0.25">
      <c r="A44" s="23">
        <v>46190</v>
      </c>
      <c r="B44" s="21" t="s">
        <v>98</v>
      </c>
      <c r="C44" s="21" t="s">
        <v>108</v>
      </c>
      <c r="D44" s="21">
        <v>2</v>
      </c>
      <c r="E44" s="21">
        <v>7</v>
      </c>
      <c r="F44" s="21" t="s">
        <v>45</v>
      </c>
      <c r="G44" s="21" t="s">
        <v>106</v>
      </c>
      <c r="H44" s="21"/>
      <c r="I44" s="21"/>
      <c r="J44" s="26">
        <v>88.17</v>
      </c>
      <c r="K44" s="26">
        <v>617.19000000000005</v>
      </c>
    </row>
    <row r="45" spans="1:11" x14ac:dyDescent="0.25">
      <c r="A45" s="23">
        <v>46190</v>
      </c>
      <c r="B45" s="21" t="s">
        <v>98</v>
      </c>
      <c r="C45" s="21" t="s">
        <v>108</v>
      </c>
      <c r="D45" s="21">
        <v>3</v>
      </c>
      <c r="E45" s="21">
        <v>3</v>
      </c>
      <c r="F45" s="21" t="s">
        <v>45</v>
      </c>
      <c r="G45" s="21" t="s">
        <v>107</v>
      </c>
      <c r="H45" s="21"/>
      <c r="I45" s="21"/>
      <c r="J45" s="26">
        <v>29.49</v>
      </c>
      <c r="K45" s="26">
        <v>88.47</v>
      </c>
    </row>
    <row r="46" spans="1:11" x14ac:dyDescent="0.25">
      <c r="A46" s="23">
        <v>46191</v>
      </c>
      <c r="B46" s="21" t="s">
        <v>43</v>
      </c>
      <c r="C46" s="21" t="s">
        <v>58</v>
      </c>
      <c r="D46" s="21">
        <v>1</v>
      </c>
      <c r="E46" s="21">
        <v>1</v>
      </c>
      <c r="F46" s="21" t="s">
        <v>45</v>
      </c>
      <c r="G46" s="21" t="s">
        <v>61</v>
      </c>
      <c r="H46" s="21"/>
      <c r="I46" s="21"/>
      <c r="J46" s="26">
        <v>3502</v>
      </c>
      <c r="K46" s="26">
        <v>3502</v>
      </c>
    </row>
    <row r="47" spans="1:11" x14ac:dyDescent="0.25">
      <c r="A47" s="23">
        <v>46191</v>
      </c>
      <c r="B47" s="21" t="s">
        <v>43</v>
      </c>
      <c r="C47" s="21" t="s">
        <v>64</v>
      </c>
      <c r="D47" s="21">
        <v>1</v>
      </c>
      <c r="E47" s="21">
        <v>5</v>
      </c>
      <c r="F47" s="21" t="s">
        <v>65</v>
      </c>
      <c r="G47" s="21" t="s">
        <v>66</v>
      </c>
      <c r="H47" s="21"/>
      <c r="I47" s="21"/>
      <c r="J47" s="26">
        <v>230</v>
      </c>
      <c r="K47" s="26">
        <v>1150</v>
      </c>
    </row>
    <row r="48" spans="1:11" x14ac:dyDescent="0.25">
      <c r="A48" s="23">
        <v>46191</v>
      </c>
      <c r="B48" s="21" t="s">
        <v>43</v>
      </c>
      <c r="C48" s="21" t="s">
        <v>58</v>
      </c>
      <c r="D48" s="21">
        <v>1</v>
      </c>
      <c r="E48" s="21">
        <v>30</v>
      </c>
      <c r="F48" s="21" t="s">
        <v>45</v>
      </c>
      <c r="G48" s="21" t="s">
        <v>67</v>
      </c>
      <c r="H48" s="21"/>
      <c r="I48" s="21"/>
      <c r="J48" s="26">
        <v>22.41</v>
      </c>
      <c r="K48" s="26">
        <v>672.3</v>
      </c>
    </row>
    <row r="49" spans="1:12" x14ac:dyDescent="0.25">
      <c r="A49" s="23">
        <v>46191</v>
      </c>
      <c r="B49" s="21" t="s">
        <v>43</v>
      </c>
      <c r="C49" s="21" t="s">
        <v>58</v>
      </c>
      <c r="D49" s="21">
        <v>2</v>
      </c>
      <c r="E49" s="21">
        <v>30</v>
      </c>
      <c r="F49" s="21" t="s">
        <v>45</v>
      </c>
      <c r="G49" s="21" t="s">
        <v>68</v>
      </c>
      <c r="H49" s="21"/>
      <c r="I49" s="21"/>
      <c r="J49" s="26">
        <v>73.28</v>
      </c>
      <c r="K49" s="26">
        <v>2198.4</v>
      </c>
    </row>
    <row r="50" spans="1:12" x14ac:dyDescent="0.25">
      <c r="A50" s="23">
        <v>46191</v>
      </c>
      <c r="B50" s="21" t="s">
        <v>43</v>
      </c>
      <c r="C50" s="21" t="s">
        <v>58</v>
      </c>
      <c r="D50" s="21">
        <v>1</v>
      </c>
      <c r="E50" s="21">
        <v>30</v>
      </c>
      <c r="F50" s="21" t="s">
        <v>45</v>
      </c>
      <c r="G50" s="21" t="s">
        <v>67</v>
      </c>
      <c r="H50" s="21"/>
      <c r="I50" s="21"/>
      <c r="J50" s="26">
        <v>22.41</v>
      </c>
      <c r="K50" s="26">
        <v>672.3</v>
      </c>
    </row>
    <row r="51" spans="1:12" x14ac:dyDescent="0.25">
      <c r="A51" s="23">
        <v>46191</v>
      </c>
      <c r="B51" s="21" t="s">
        <v>43</v>
      </c>
      <c r="C51" s="21" t="s">
        <v>58</v>
      </c>
      <c r="D51" s="21">
        <v>2</v>
      </c>
      <c r="E51" s="21">
        <v>30</v>
      </c>
      <c r="F51" s="21" t="s">
        <v>45</v>
      </c>
      <c r="G51" s="21" t="s">
        <v>68</v>
      </c>
      <c r="H51" s="21"/>
      <c r="I51" s="21"/>
      <c r="J51" s="26">
        <v>73.28</v>
      </c>
      <c r="K51" s="26">
        <v>2198.4</v>
      </c>
    </row>
    <row r="52" spans="1:12" x14ac:dyDescent="0.25">
      <c r="A52" s="23">
        <v>46191</v>
      </c>
      <c r="B52" s="21" t="s">
        <v>43</v>
      </c>
      <c r="C52" s="21" t="s">
        <v>69</v>
      </c>
      <c r="D52" s="21">
        <v>1</v>
      </c>
      <c r="E52" s="21">
        <v>2</v>
      </c>
      <c r="F52" s="21" t="s">
        <v>70</v>
      </c>
      <c r="G52" s="21" t="s">
        <v>71</v>
      </c>
      <c r="H52" s="21"/>
      <c r="I52" s="21"/>
      <c r="J52" s="26">
        <v>96.5</v>
      </c>
      <c r="K52" s="26">
        <v>193</v>
      </c>
    </row>
    <row r="53" spans="1:12" x14ac:dyDescent="0.25">
      <c r="A53" s="23">
        <v>46191</v>
      </c>
      <c r="B53" s="21" t="s">
        <v>43</v>
      </c>
      <c r="C53" s="21" t="s">
        <v>69</v>
      </c>
      <c r="D53" s="21">
        <v>2</v>
      </c>
      <c r="E53" s="21">
        <v>1</v>
      </c>
      <c r="F53" s="21" t="s">
        <v>72</v>
      </c>
      <c r="G53" s="21" t="s">
        <v>73</v>
      </c>
      <c r="H53" s="21"/>
      <c r="I53" s="21"/>
      <c r="J53" s="26">
        <v>83.5</v>
      </c>
      <c r="K53" s="26">
        <v>83.5</v>
      </c>
    </row>
    <row r="54" spans="1:12" x14ac:dyDescent="0.25">
      <c r="A54" s="23">
        <v>46191</v>
      </c>
      <c r="B54" s="21" t="s">
        <v>43</v>
      </c>
      <c r="C54" s="21" t="s">
        <v>69</v>
      </c>
      <c r="D54" s="21">
        <v>3</v>
      </c>
      <c r="E54" s="21">
        <v>2</v>
      </c>
      <c r="F54" s="21" t="s">
        <v>45</v>
      </c>
      <c r="G54" s="21" t="s">
        <v>74</v>
      </c>
      <c r="H54" s="21"/>
      <c r="I54" s="21"/>
      <c r="J54" s="26">
        <v>6</v>
      </c>
      <c r="K54" s="26">
        <v>12</v>
      </c>
    </row>
    <row r="55" spans="1:12" x14ac:dyDescent="0.25">
      <c r="A55" s="23">
        <v>46191</v>
      </c>
      <c r="B55" s="21" t="s">
        <v>76</v>
      </c>
      <c r="C55" s="21" t="s">
        <v>75</v>
      </c>
      <c r="D55" s="21">
        <v>1</v>
      </c>
      <c r="E55" s="21">
        <v>6</v>
      </c>
      <c r="F55" s="21" t="s">
        <v>45</v>
      </c>
      <c r="G55" s="21" t="s">
        <v>77</v>
      </c>
      <c r="H55" s="21"/>
      <c r="I55" s="21"/>
      <c r="J55" s="26">
        <v>55</v>
      </c>
      <c r="K55" s="26">
        <v>330</v>
      </c>
    </row>
    <row r="56" spans="1:12" x14ac:dyDescent="0.25">
      <c r="A56" s="23">
        <v>46195</v>
      </c>
      <c r="B56" s="21" t="s">
        <v>43</v>
      </c>
      <c r="C56" s="21" t="s">
        <v>64</v>
      </c>
      <c r="D56" s="21">
        <v>1</v>
      </c>
      <c r="E56" s="21">
        <v>16</v>
      </c>
      <c r="F56" s="21" t="s">
        <v>45</v>
      </c>
      <c r="G56" s="21" t="s">
        <v>81</v>
      </c>
      <c r="H56" s="21"/>
      <c r="I56" s="21"/>
      <c r="J56" s="26">
        <v>110</v>
      </c>
      <c r="K56" s="26">
        <v>1760</v>
      </c>
    </row>
    <row r="57" spans="1:12" x14ac:dyDescent="0.25">
      <c r="A57" s="23">
        <v>46195</v>
      </c>
      <c r="B57" s="21" t="s">
        <v>43</v>
      </c>
      <c r="C57" s="21" t="s">
        <v>64</v>
      </c>
      <c r="D57" s="21">
        <v>1</v>
      </c>
      <c r="E57" s="21">
        <v>5</v>
      </c>
      <c r="F57" s="21" t="s">
        <v>45</v>
      </c>
      <c r="G57" s="21" t="s">
        <v>82</v>
      </c>
      <c r="H57" s="21"/>
      <c r="I57" s="21"/>
      <c r="J57" s="26">
        <v>36.21</v>
      </c>
      <c r="K57" s="26">
        <v>181.05</v>
      </c>
    </row>
    <row r="58" spans="1:12" x14ac:dyDescent="0.25">
      <c r="A58" s="23">
        <v>46195</v>
      </c>
      <c r="B58" s="21" t="s">
        <v>76</v>
      </c>
      <c r="C58" s="21" t="s">
        <v>58</v>
      </c>
      <c r="D58" s="21">
        <v>1</v>
      </c>
      <c r="E58" s="21">
        <v>25</v>
      </c>
      <c r="F58" s="21" t="s">
        <v>45</v>
      </c>
      <c r="G58" s="21" t="s">
        <v>113</v>
      </c>
      <c r="H58" s="21"/>
      <c r="I58" s="21"/>
      <c r="J58" s="26">
        <v>22.41</v>
      </c>
      <c r="K58" s="26">
        <v>560.25</v>
      </c>
    </row>
    <row r="59" spans="1:12" x14ac:dyDescent="0.25">
      <c r="A59" s="23">
        <v>46195</v>
      </c>
      <c r="B59" s="21" t="s">
        <v>76</v>
      </c>
      <c r="C59" s="21" t="s">
        <v>58</v>
      </c>
      <c r="D59" s="21">
        <v>2</v>
      </c>
      <c r="E59" s="21">
        <v>10</v>
      </c>
      <c r="F59" s="21" t="s">
        <v>45</v>
      </c>
      <c r="G59" s="21" t="s">
        <v>114</v>
      </c>
      <c r="H59" s="21"/>
      <c r="I59" s="21"/>
      <c r="J59" s="26">
        <v>10</v>
      </c>
      <c r="K59" s="26">
        <v>100</v>
      </c>
    </row>
    <row r="60" spans="1:12" x14ac:dyDescent="0.25">
      <c r="A60" s="23">
        <v>46195</v>
      </c>
      <c r="B60" s="21" t="s">
        <v>76</v>
      </c>
      <c r="C60" s="21" t="s">
        <v>58</v>
      </c>
      <c r="D60" s="21">
        <v>3</v>
      </c>
      <c r="E60" s="21">
        <v>20</v>
      </c>
      <c r="F60" s="21" t="s">
        <v>45</v>
      </c>
      <c r="G60" s="21" t="s">
        <v>115</v>
      </c>
      <c r="H60" s="21"/>
      <c r="I60" s="21"/>
      <c r="J60" s="26">
        <v>20</v>
      </c>
      <c r="K60" s="26">
        <v>400</v>
      </c>
    </row>
    <row r="61" spans="1:12" x14ac:dyDescent="0.25">
      <c r="A61" s="23">
        <v>46195</v>
      </c>
      <c r="B61" s="21" t="s">
        <v>76</v>
      </c>
      <c r="C61" s="21" t="s">
        <v>116</v>
      </c>
      <c r="D61" s="21">
        <v>1</v>
      </c>
      <c r="E61" s="21">
        <v>2</v>
      </c>
      <c r="F61" s="21" t="s">
        <v>45</v>
      </c>
      <c r="G61" s="21" t="s">
        <v>117</v>
      </c>
      <c r="H61" s="21"/>
      <c r="I61" s="21"/>
      <c r="J61" s="26">
        <v>2075.52</v>
      </c>
      <c r="K61" s="26">
        <v>4151.04</v>
      </c>
    </row>
    <row r="62" spans="1:12" x14ac:dyDescent="0.25">
      <c r="A62" s="23">
        <v>46195</v>
      </c>
      <c r="B62" s="21" t="s">
        <v>98</v>
      </c>
      <c r="C62" s="21" t="s">
        <v>135</v>
      </c>
      <c r="D62" s="21">
        <v>1</v>
      </c>
      <c r="E62" s="21">
        <v>1</v>
      </c>
      <c r="F62" s="21" t="s">
        <v>132</v>
      </c>
      <c r="G62" s="21" t="s">
        <v>133</v>
      </c>
      <c r="H62" s="21"/>
      <c r="I62" s="21" t="s">
        <v>134</v>
      </c>
      <c r="J62" s="26">
        <v>7493.4</v>
      </c>
      <c r="K62" s="26">
        <v>7493.4</v>
      </c>
    </row>
    <row r="63" spans="1:12" x14ac:dyDescent="0.25">
      <c r="A63" s="23">
        <v>46195</v>
      </c>
      <c r="B63" s="21" t="s">
        <v>98</v>
      </c>
      <c r="C63" s="21" t="s">
        <v>300</v>
      </c>
      <c r="D63" s="21">
        <v>1</v>
      </c>
      <c r="E63" s="21">
        <v>1</v>
      </c>
      <c r="F63" s="21" t="s">
        <v>150</v>
      </c>
      <c r="G63" s="21" t="s">
        <v>301</v>
      </c>
      <c r="H63" s="21"/>
      <c r="I63" s="21" t="s">
        <v>302</v>
      </c>
      <c r="J63" s="26">
        <v>7493.4</v>
      </c>
      <c r="K63" s="26">
        <v>7493.4</v>
      </c>
      <c r="L63" s="29"/>
    </row>
    <row r="64" spans="1:12" x14ac:dyDescent="0.25">
      <c r="A64" s="23">
        <v>46196</v>
      </c>
      <c r="B64" s="21" t="s">
        <v>31</v>
      </c>
      <c r="C64" s="21" t="s">
        <v>263</v>
      </c>
      <c r="D64" s="21">
        <v>1</v>
      </c>
      <c r="E64" s="21">
        <v>1</v>
      </c>
      <c r="F64" s="21" t="s">
        <v>150</v>
      </c>
      <c r="G64" s="21" t="s">
        <v>264</v>
      </c>
      <c r="H64" s="21"/>
      <c r="I64" s="21" t="s">
        <v>266</v>
      </c>
      <c r="J64" s="26">
        <v>4020</v>
      </c>
      <c r="K64" s="26">
        <v>4020</v>
      </c>
    </row>
    <row r="65" spans="1:11" x14ac:dyDescent="0.25">
      <c r="A65" s="23">
        <v>46196</v>
      </c>
      <c r="B65" s="21" t="s">
        <v>31</v>
      </c>
      <c r="C65" s="21" t="s">
        <v>263</v>
      </c>
      <c r="D65" s="21">
        <v>2</v>
      </c>
      <c r="E65" s="21">
        <v>1</v>
      </c>
      <c r="F65" s="21" t="s">
        <v>150</v>
      </c>
      <c r="G65" s="21" t="s">
        <v>265</v>
      </c>
      <c r="H65" s="21"/>
      <c r="I65" s="21" t="s">
        <v>266</v>
      </c>
      <c r="J65" s="26">
        <v>365</v>
      </c>
      <c r="K65" s="26">
        <v>365</v>
      </c>
    </row>
    <row r="66" spans="1:11" x14ac:dyDescent="0.25">
      <c r="A66" s="23">
        <v>46196</v>
      </c>
      <c r="B66" s="21" t="s">
        <v>43</v>
      </c>
      <c r="C66" s="21" t="s">
        <v>58</v>
      </c>
      <c r="D66" s="21">
        <v>1</v>
      </c>
      <c r="E66" s="21">
        <v>1</v>
      </c>
      <c r="F66" s="21" t="s">
        <v>150</v>
      </c>
      <c r="G66" s="21" t="s">
        <v>267</v>
      </c>
      <c r="H66" s="21"/>
      <c r="I66" s="21" t="s">
        <v>198</v>
      </c>
      <c r="J66" s="26">
        <v>3502</v>
      </c>
      <c r="K66" s="26">
        <v>3502</v>
      </c>
    </row>
    <row r="67" spans="1:11" x14ac:dyDescent="0.25">
      <c r="A67" s="23">
        <v>46196</v>
      </c>
      <c r="B67" s="21" t="s">
        <v>31</v>
      </c>
      <c r="C67" s="21" t="s">
        <v>145</v>
      </c>
      <c r="D67" s="21">
        <v>1</v>
      </c>
      <c r="E67" s="21">
        <v>1</v>
      </c>
      <c r="F67" s="21" t="s">
        <v>45</v>
      </c>
      <c r="G67" s="21" t="s">
        <v>288</v>
      </c>
      <c r="H67" s="21"/>
      <c r="I67" s="21" t="s">
        <v>146</v>
      </c>
      <c r="J67" s="26">
        <v>883.1</v>
      </c>
      <c r="K67" s="26">
        <v>883.1</v>
      </c>
    </row>
    <row r="68" spans="1:11" x14ac:dyDescent="0.25">
      <c r="A68" s="23">
        <v>46196</v>
      </c>
      <c r="B68" s="21" t="s">
        <v>162</v>
      </c>
      <c r="C68" s="21" t="s">
        <v>279</v>
      </c>
      <c r="D68" s="21">
        <v>1</v>
      </c>
      <c r="E68" s="21">
        <v>3</v>
      </c>
      <c r="F68" s="21" t="s">
        <v>150</v>
      </c>
      <c r="G68" s="21" t="s">
        <v>296</v>
      </c>
      <c r="H68" s="21"/>
      <c r="I68" s="21"/>
      <c r="J68" s="26">
        <v>132.93</v>
      </c>
      <c r="K68" s="26">
        <v>398.79</v>
      </c>
    </row>
    <row r="69" spans="1:11" ht="21" customHeight="1" x14ac:dyDescent="0.25">
      <c r="A69" s="23">
        <v>46196</v>
      </c>
      <c r="B69" s="21" t="s">
        <v>43</v>
      </c>
      <c r="C69" s="21" t="s">
        <v>279</v>
      </c>
      <c r="D69" s="21">
        <v>1</v>
      </c>
      <c r="E69" s="21">
        <v>16</v>
      </c>
      <c r="F69" s="21" t="s">
        <v>150</v>
      </c>
      <c r="G69" s="21" t="s">
        <v>297</v>
      </c>
      <c r="H69" s="21"/>
      <c r="I69" s="21"/>
      <c r="J69" s="26">
        <v>110</v>
      </c>
      <c r="K69" s="26">
        <v>1760</v>
      </c>
    </row>
    <row r="70" spans="1:11" x14ac:dyDescent="0.25">
      <c r="A70" s="23">
        <v>46197</v>
      </c>
      <c r="B70" s="21" t="s">
        <v>43</v>
      </c>
      <c r="C70" s="21" t="s">
        <v>268</v>
      </c>
      <c r="D70" s="21">
        <v>1</v>
      </c>
      <c r="E70" s="21">
        <v>5</v>
      </c>
      <c r="F70" s="21" t="s">
        <v>150</v>
      </c>
      <c r="G70" s="21" t="s">
        <v>269</v>
      </c>
      <c r="H70" s="21"/>
      <c r="I70" s="21" t="s">
        <v>198</v>
      </c>
      <c r="J70" s="26">
        <v>26.35</v>
      </c>
      <c r="K70" s="26">
        <v>131.75</v>
      </c>
    </row>
    <row r="71" spans="1:11" x14ac:dyDescent="0.25">
      <c r="A71" s="23">
        <v>46197</v>
      </c>
      <c r="B71" s="21" t="s">
        <v>43</v>
      </c>
      <c r="C71" s="21" t="s">
        <v>268</v>
      </c>
      <c r="D71" s="21">
        <v>2</v>
      </c>
      <c r="E71" s="21">
        <v>5</v>
      </c>
      <c r="F71" s="21" t="s">
        <v>150</v>
      </c>
      <c r="G71" s="21" t="s">
        <v>270</v>
      </c>
      <c r="H71" s="21"/>
      <c r="I71" s="21" t="s">
        <v>198</v>
      </c>
      <c r="J71" s="26">
        <v>28.75</v>
      </c>
      <c r="K71" s="26">
        <v>143.75</v>
      </c>
    </row>
    <row r="72" spans="1:11" x14ac:dyDescent="0.25">
      <c r="A72" s="23">
        <v>46197</v>
      </c>
      <c r="B72" s="21" t="s">
        <v>98</v>
      </c>
      <c r="C72" s="21" t="s">
        <v>205</v>
      </c>
      <c r="D72" s="21">
        <v>1</v>
      </c>
      <c r="E72" s="21">
        <v>36</v>
      </c>
      <c r="F72" s="21" t="s">
        <v>150</v>
      </c>
      <c r="G72" s="21" t="s">
        <v>271</v>
      </c>
      <c r="H72" s="21" t="s">
        <v>277</v>
      </c>
      <c r="I72" s="21" t="s">
        <v>272</v>
      </c>
      <c r="J72" s="26">
        <v>12.27</v>
      </c>
      <c r="K72" s="26">
        <v>441.71999999999997</v>
      </c>
    </row>
    <row r="73" spans="1:11" x14ac:dyDescent="0.25">
      <c r="A73" s="23">
        <v>46197</v>
      </c>
      <c r="B73" s="21" t="s">
        <v>98</v>
      </c>
      <c r="C73" s="21" t="s">
        <v>205</v>
      </c>
      <c r="D73" s="21">
        <v>2</v>
      </c>
      <c r="E73" s="21">
        <v>16</v>
      </c>
      <c r="F73" s="21" t="s">
        <v>150</v>
      </c>
      <c r="G73" s="21" t="s">
        <v>273</v>
      </c>
      <c r="H73" s="21" t="s">
        <v>277</v>
      </c>
      <c r="I73" s="21" t="s">
        <v>272</v>
      </c>
      <c r="J73" s="26">
        <v>48.4</v>
      </c>
      <c r="K73" s="26">
        <v>774.4</v>
      </c>
    </row>
    <row r="74" spans="1:11" x14ac:dyDescent="0.25">
      <c r="A74" s="23">
        <v>46197</v>
      </c>
      <c r="B74" s="21" t="s">
        <v>98</v>
      </c>
      <c r="C74" s="21" t="s">
        <v>205</v>
      </c>
      <c r="D74" s="21">
        <v>3</v>
      </c>
      <c r="E74" s="21">
        <v>24</v>
      </c>
      <c r="F74" s="21" t="s">
        <v>45</v>
      </c>
      <c r="G74" s="21" t="s">
        <v>274</v>
      </c>
      <c r="H74" s="21" t="s">
        <v>277</v>
      </c>
      <c r="I74" s="21" t="s">
        <v>272</v>
      </c>
      <c r="J74" s="26">
        <v>13.67</v>
      </c>
      <c r="K74" s="26">
        <v>328.08</v>
      </c>
    </row>
    <row r="75" spans="1:11" x14ac:dyDescent="0.25">
      <c r="A75" s="23">
        <v>46197</v>
      </c>
      <c r="B75" s="21" t="s">
        <v>98</v>
      </c>
      <c r="C75" s="21" t="s">
        <v>205</v>
      </c>
      <c r="D75" s="21">
        <v>4</v>
      </c>
      <c r="E75" s="21">
        <v>8</v>
      </c>
      <c r="F75" s="21" t="s">
        <v>45</v>
      </c>
      <c r="G75" s="21" t="s">
        <v>275</v>
      </c>
      <c r="H75" s="21" t="s">
        <v>277</v>
      </c>
      <c r="I75" s="21" t="s">
        <v>272</v>
      </c>
      <c r="J75" s="26">
        <v>261.26</v>
      </c>
      <c r="K75" s="26">
        <v>2090.08</v>
      </c>
    </row>
    <row r="76" spans="1:11" x14ac:dyDescent="0.25">
      <c r="A76" s="23">
        <v>46197</v>
      </c>
      <c r="B76" s="21" t="s">
        <v>98</v>
      </c>
      <c r="C76" s="21" t="s">
        <v>205</v>
      </c>
      <c r="D76" s="21">
        <v>5</v>
      </c>
      <c r="E76" s="21">
        <v>5</v>
      </c>
      <c r="F76" s="21" t="s">
        <v>45</v>
      </c>
      <c r="G76" s="21" t="s">
        <v>276</v>
      </c>
      <c r="H76" s="21" t="s">
        <v>277</v>
      </c>
      <c r="I76" s="21" t="s">
        <v>272</v>
      </c>
      <c r="J76" s="26">
        <v>76.48</v>
      </c>
      <c r="K76" s="26">
        <v>382.40000000000003</v>
      </c>
    </row>
    <row r="77" spans="1:11" x14ac:dyDescent="0.25">
      <c r="A77" s="23">
        <v>46197</v>
      </c>
      <c r="B77" s="21" t="s">
        <v>98</v>
      </c>
      <c r="C77" s="21" t="s">
        <v>205</v>
      </c>
      <c r="D77" s="21">
        <v>6</v>
      </c>
      <c r="E77" s="21">
        <v>6</v>
      </c>
      <c r="F77" s="21" t="s">
        <v>45</v>
      </c>
      <c r="G77" s="21" t="s">
        <v>278</v>
      </c>
      <c r="H77" s="21"/>
      <c r="I77" s="21" t="s">
        <v>272</v>
      </c>
      <c r="J77" s="26">
        <v>128.58000000000001</v>
      </c>
      <c r="K77" s="26">
        <v>771.48</v>
      </c>
    </row>
    <row r="78" spans="1:11" x14ac:dyDescent="0.25">
      <c r="A78" s="23">
        <v>46197</v>
      </c>
      <c r="B78" s="21" t="s">
        <v>43</v>
      </c>
      <c r="C78" s="21" t="s">
        <v>279</v>
      </c>
      <c r="D78" s="21">
        <v>1</v>
      </c>
      <c r="E78" s="21">
        <v>5</v>
      </c>
      <c r="F78" s="21" t="s">
        <v>65</v>
      </c>
      <c r="G78" s="21" t="s">
        <v>281</v>
      </c>
      <c r="H78" s="21"/>
      <c r="I78" s="21" t="s">
        <v>280</v>
      </c>
      <c r="J78" s="26">
        <v>12.27</v>
      </c>
      <c r="K78" s="26">
        <v>61.349999999999994</v>
      </c>
    </row>
    <row r="79" spans="1:11" x14ac:dyDescent="0.25">
      <c r="A79" s="23">
        <v>46197</v>
      </c>
      <c r="B79" s="21" t="s">
        <v>43</v>
      </c>
      <c r="C79" s="21" t="s">
        <v>279</v>
      </c>
      <c r="D79" s="21">
        <v>2</v>
      </c>
      <c r="E79" s="21">
        <v>3</v>
      </c>
      <c r="F79" s="21" t="s">
        <v>150</v>
      </c>
      <c r="G79" s="21" t="s">
        <v>282</v>
      </c>
      <c r="H79" s="21"/>
      <c r="I79" s="21" t="s">
        <v>280</v>
      </c>
      <c r="J79" s="26">
        <v>48.4</v>
      </c>
      <c r="K79" s="26">
        <v>145.19999999999999</v>
      </c>
    </row>
    <row r="80" spans="1:11" x14ac:dyDescent="0.25">
      <c r="A80" s="23">
        <v>46197</v>
      </c>
      <c r="B80" s="21" t="s">
        <v>98</v>
      </c>
      <c r="C80" s="21" t="s">
        <v>248</v>
      </c>
      <c r="D80" s="21">
        <v>1</v>
      </c>
      <c r="E80" s="21">
        <v>50</v>
      </c>
      <c r="F80" s="21" t="s">
        <v>65</v>
      </c>
      <c r="G80" s="21" t="s">
        <v>283</v>
      </c>
      <c r="H80" s="21"/>
      <c r="I80" s="21" t="s">
        <v>285</v>
      </c>
      <c r="J80" s="26">
        <v>40</v>
      </c>
      <c r="K80" s="26">
        <v>2000</v>
      </c>
    </row>
    <row r="81" spans="1:11" x14ac:dyDescent="0.25">
      <c r="A81" s="23">
        <v>46197</v>
      </c>
      <c r="B81" s="21" t="s">
        <v>98</v>
      </c>
      <c r="C81" s="21" t="s">
        <v>248</v>
      </c>
      <c r="D81" s="21">
        <v>2</v>
      </c>
      <c r="E81" s="21">
        <v>30</v>
      </c>
      <c r="F81" s="21" t="s">
        <v>65</v>
      </c>
      <c r="G81" s="21" t="s">
        <v>284</v>
      </c>
      <c r="H81" s="21"/>
      <c r="I81" s="21" t="s">
        <v>285</v>
      </c>
      <c r="J81" s="26">
        <v>45</v>
      </c>
      <c r="K81" s="26">
        <v>1350</v>
      </c>
    </row>
    <row r="82" spans="1:11" x14ac:dyDescent="0.25">
      <c r="A82" s="23">
        <v>46198</v>
      </c>
      <c r="B82" s="21" t="s">
        <v>98</v>
      </c>
      <c r="C82" s="21" t="s">
        <v>289</v>
      </c>
      <c r="D82" s="21">
        <v>1</v>
      </c>
      <c r="E82" s="21">
        <v>20</v>
      </c>
      <c r="F82" s="21" t="s">
        <v>45</v>
      </c>
      <c r="G82" s="21" t="s">
        <v>290</v>
      </c>
      <c r="H82" s="21"/>
      <c r="I82" s="21" t="s">
        <v>272</v>
      </c>
      <c r="J82" s="26">
        <v>6.47</v>
      </c>
      <c r="K82" s="26">
        <v>129.4</v>
      </c>
    </row>
    <row r="83" spans="1:11" x14ac:dyDescent="0.25">
      <c r="A83" s="23">
        <v>46198</v>
      </c>
      <c r="B83" s="21" t="s">
        <v>98</v>
      </c>
      <c r="C83" s="21" t="s">
        <v>289</v>
      </c>
      <c r="D83" s="21">
        <v>2</v>
      </c>
      <c r="E83" s="21">
        <v>10</v>
      </c>
      <c r="F83" s="21" t="s">
        <v>45</v>
      </c>
      <c r="G83" s="21" t="s">
        <v>291</v>
      </c>
      <c r="H83" s="21"/>
      <c r="I83" s="21" t="s">
        <v>272</v>
      </c>
      <c r="J83" s="26">
        <v>4</v>
      </c>
      <c r="K83" s="26">
        <v>40</v>
      </c>
    </row>
    <row r="84" spans="1:11" x14ac:dyDescent="0.25">
      <c r="A84" s="23">
        <v>46199</v>
      </c>
      <c r="B84" s="21" t="s">
        <v>31</v>
      </c>
      <c r="C84" s="21" t="s">
        <v>145</v>
      </c>
      <c r="D84" s="21">
        <v>1</v>
      </c>
      <c r="E84" s="21">
        <v>3</v>
      </c>
      <c r="F84" s="21" t="s">
        <v>147</v>
      </c>
      <c r="G84" s="21" t="s">
        <v>148</v>
      </c>
      <c r="H84" s="21"/>
      <c r="I84" s="21"/>
      <c r="J84" s="26">
        <v>775.73</v>
      </c>
      <c r="K84" s="26">
        <v>2327.19</v>
      </c>
    </row>
    <row r="85" spans="1:11" x14ac:dyDescent="0.25">
      <c r="A85" s="23">
        <v>46199</v>
      </c>
      <c r="B85" s="21" t="s">
        <v>76</v>
      </c>
      <c r="C85" s="21" t="s">
        <v>149</v>
      </c>
      <c r="D85" s="21">
        <v>1</v>
      </c>
      <c r="E85" s="21">
        <v>1</v>
      </c>
      <c r="F85" s="21" t="s">
        <v>150</v>
      </c>
      <c r="G85" s="21" t="s">
        <v>151</v>
      </c>
      <c r="H85" s="21"/>
      <c r="I85" s="21" t="s">
        <v>152</v>
      </c>
      <c r="J85" s="26">
        <v>2000</v>
      </c>
      <c r="K85" s="26">
        <v>2000</v>
      </c>
    </row>
    <row r="86" spans="1:11" x14ac:dyDescent="0.25">
      <c r="A86" s="23">
        <v>46199</v>
      </c>
      <c r="B86" s="21" t="s">
        <v>76</v>
      </c>
      <c r="C86" s="21" t="s">
        <v>149</v>
      </c>
      <c r="D86" s="21">
        <v>1</v>
      </c>
      <c r="E86" s="21">
        <v>20</v>
      </c>
      <c r="F86" s="21" t="s">
        <v>153</v>
      </c>
      <c r="G86" s="21" t="s">
        <v>154</v>
      </c>
      <c r="H86" s="21"/>
      <c r="I86" s="21" t="s">
        <v>112</v>
      </c>
      <c r="J86" s="26">
        <v>47.41</v>
      </c>
      <c r="K86" s="26">
        <v>948.19999999999993</v>
      </c>
    </row>
    <row r="87" spans="1:11" x14ac:dyDescent="0.25">
      <c r="A87" s="23">
        <v>46199</v>
      </c>
      <c r="B87" s="21" t="s">
        <v>161</v>
      </c>
      <c r="C87" s="21" t="s">
        <v>155</v>
      </c>
      <c r="D87" s="21">
        <v>1</v>
      </c>
      <c r="E87" s="21">
        <v>48</v>
      </c>
      <c r="F87" s="21" t="s">
        <v>156</v>
      </c>
      <c r="G87" s="21" t="s">
        <v>157</v>
      </c>
      <c r="H87" s="21"/>
      <c r="I87" s="21" t="s">
        <v>159</v>
      </c>
      <c r="J87" s="26">
        <v>1.8695999999999999</v>
      </c>
      <c r="K87" s="26">
        <v>89.740799999999993</v>
      </c>
    </row>
    <row r="88" spans="1:11" x14ac:dyDescent="0.25">
      <c r="A88" s="23">
        <v>46199</v>
      </c>
      <c r="B88" s="21" t="s">
        <v>161</v>
      </c>
      <c r="C88" s="21" t="s">
        <v>155</v>
      </c>
      <c r="D88" s="21">
        <v>2</v>
      </c>
      <c r="E88" s="21">
        <v>1</v>
      </c>
      <c r="F88" s="21" t="s">
        <v>65</v>
      </c>
      <c r="G88" s="21" t="s">
        <v>158</v>
      </c>
      <c r="H88" s="21"/>
      <c r="I88" s="21"/>
      <c r="J88" s="26">
        <v>49.23</v>
      </c>
      <c r="K88" s="26">
        <v>49.23</v>
      </c>
    </row>
    <row r="89" spans="1:11" x14ac:dyDescent="0.25">
      <c r="A89" s="23">
        <v>46199</v>
      </c>
      <c r="B89" s="21" t="s">
        <v>161</v>
      </c>
      <c r="C89" s="21" t="s">
        <v>155</v>
      </c>
      <c r="D89" s="21">
        <v>3</v>
      </c>
      <c r="E89" s="21">
        <v>4</v>
      </c>
      <c r="F89" s="21" t="s">
        <v>156</v>
      </c>
      <c r="G89" s="21" t="s">
        <v>160</v>
      </c>
      <c r="H89" s="21"/>
      <c r="I89" s="21"/>
      <c r="J89" s="26">
        <v>62.08</v>
      </c>
      <c r="K89" s="26">
        <v>248.32</v>
      </c>
    </row>
    <row r="90" spans="1:11" x14ac:dyDescent="0.25">
      <c r="A90" s="23">
        <v>46199</v>
      </c>
      <c r="B90" s="21" t="s">
        <v>162</v>
      </c>
      <c r="C90" s="21" t="s">
        <v>163</v>
      </c>
      <c r="D90" s="21">
        <v>1</v>
      </c>
      <c r="E90" s="21">
        <v>1</v>
      </c>
      <c r="F90" s="21" t="s">
        <v>156</v>
      </c>
      <c r="G90" s="21" t="s">
        <v>165</v>
      </c>
      <c r="H90" s="21"/>
      <c r="I90" s="21" t="s">
        <v>164</v>
      </c>
      <c r="J90" s="26">
        <v>314.64999999999998</v>
      </c>
      <c r="K90" s="26">
        <v>314.64999999999998</v>
      </c>
    </row>
    <row r="91" spans="1:11" x14ac:dyDescent="0.25">
      <c r="A91" s="23">
        <v>46199</v>
      </c>
      <c r="B91" s="21" t="s">
        <v>162</v>
      </c>
      <c r="C91" s="21" t="s">
        <v>166</v>
      </c>
      <c r="D91" s="21">
        <v>1</v>
      </c>
      <c r="E91" s="21">
        <v>1</v>
      </c>
      <c r="F91" s="21" t="s">
        <v>156</v>
      </c>
      <c r="G91" s="21" t="s">
        <v>167</v>
      </c>
      <c r="H91" s="21"/>
      <c r="I91" s="21" t="s">
        <v>168</v>
      </c>
      <c r="J91" s="26">
        <v>5067.4799999999996</v>
      </c>
      <c r="K91" s="26">
        <v>5067.4799999999996</v>
      </c>
    </row>
    <row r="92" spans="1:11" x14ac:dyDescent="0.25">
      <c r="A92" s="23">
        <v>46199</v>
      </c>
      <c r="B92" s="21" t="s">
        <v>162</v>
      </c>
      <c r="C92" s="21" t="s">
        <v>78</v>
      </c>
      <c r="D92" s="21">
        <v>1</v>
      </c>
      <c r="E92" s="21">
        <v>19</v>
      </c>
      <c r="F92" s="21" t="s">
        <v>88</v>
      </c>
      <c r="G92" s="21" t="s">
        <v>169</v>
      </c>
      <c r="H92" s="21"/>
      <c r="I92" s="21" t="s">
        <v>170</v>
      </c>
      <c r="J92" s="26">
        <v>68.849999999999994</v>
      </c>
      <c r="K92" s="26">
        <v>1308.1499999999999</v>
      </c>
    </row>
    <row r="93" spans="1:11" x14ac:dyDescent="0.25">
      <c r="A93" s="23">
        <v>46199</v>
      </c>
      <c r="B93" s="21" t="s">
        <v>76</v>
      </c>
      <c r="C93" s="21" t="s">
        <v>172</v>
      </c>
      <c r="D93" s="21">
        <v>1</v>
      </c>
      <c r="E93" s="21">
        <v>1</v>
      </c>
      <c r="F93" s="21" t="s">
        <v>45</v>
      </c>
      <c r="G93" s="21" t="s">
        <v>173</v>
      </c>
      <c r="H93" s="21" t="s">
        <v>174</v>
      </c>
      <c r="I93" s="21" t="s">
        <v>175</v>
      </c>
      <c r="J93" s="26">
        <v>3500</v>
      </c>
      <c r="K93" s="26">
        <v>3500</v>
      </c>
    </row>
    <row r="94" spans="1:11" x14ac:dyDescent="0.25">
      <c r="A94" s="23">
        <v>46199</v>
      </c>
      <c r="B94" s="21" t="s">
        <v>76</v>
      </c>
      <c r="C94" s="21" t="s">
        <v>176</v>
      </c>
      <c r="D94" s="21">
        <v>1</v>
      </c>
      <c r="E94" s="21">
        <v>20</v>
      </c>
      <c r="F94" s="21" t="s">
        <v>177</v>
      </c>
      <c r="G94" s="21" t="s">
        <v>178</v>
      </c>
      <c r="H94" s="21" t="s">
        <v>112</v>
      </c>
      <c r="I94" s="21" t="s">
        <v>175</v>
      </c>
      <c r="J94" s="26">
        <v>47.41</v>
      </c>
      <c r="K94" s="26">
        <v>948.19999999999993</v>
      </c>
    </row>
    <row r="95" spans="1:11" x14ac:dyDescent="0.25">
      <c r="A95" s="23">
        <v>46199</v>
      </c>
      <c r="B95" s="21" t="s">
        <v>43</v>
      </c>
      <c r="C95" s="21" t="s">
        <v>64</v>
      </c>
      <c r="D95" s="21">
        <v>1</v>
      </c>
      <c r="E95" s="21">
        <v>10</v>
      </c>
      <c r="F95" s="21" t="s">
        <v>150</v>
      </c>
      <c r="G95" s="21" t="s">
        <v>179</v>
      </c>
      <c r="H95" s="21" t="s">
        <v>112</v>
      </c>
      <c r="I95" s="21" t="s">
        <v>159</v>
      </c>
      <c r="J95" s="26">
        <v>30</v>
      </c>
      <c r="K95" s="26">
        <v>300</v>
      </c>
    </row>
    <row r="96" spans="1:11" x14ac:dyDescent="0.25">
      <c r="A96" s="23">
        <v>46199</v>
      </c>
      <c r="B96" s="21" t="s">
        <v>43</v>
      </c>
      <c r="C96" s="21" t="s">
        <v>64</v>
      </c>
      <c r="D96" s="21">
        <v>2</v>
      </c>
      <c r="E96" s="21">
        <v>20</v>
      </c>
      <c r="F96" s="21" t="s">
        <v>45</v>
      </c>
      <c r="G96" s="21" t="s">
        <v>180</v>
      </c>
      <c r="H96" s="21"/>
      <c r="I96" s="21" t="s">
        <v>159</v>
      </c>
      <c r="J96" s="26">
        <v>20</v>
      </c>
      <c r="K96" s="26">
        <v>400</v>
      </c>
    </row>
    <row r="97" spans="1:11" x14ac:dyDescent="0.25">
      <c r="A97" s="23">
        <v>46199</v>
      </c>
      <c r="B97" s="21" t="s">
        <v>43</v>
      </c>
      <c r="C97" s="21" t="s">
        <v>64</v>
      </c>
      <c r="D97" s="21">
        <v>3</v>
      </c>
      <c r="E97" s="21">
        <v>9</v>
      </c>
      <c r="F97" s="21" t="s">
        <v>45</v>
      </c>
      <c r="G97" s="21" t="s">
        <v>181</v>
      </c>
      <c r="H97" s="21"/>
      <c r="I97" s="21" t="s">
        <v>159</v>
      </c>
      <c r="J97" s="26">
        <v>130</v>
      </c>
      <c r="K97" s="26">
        <v>1170</v>
      </c>
    </row>
    <row r="98" spans="1:11" x14ac:dyDescent="0.25">
      <c r="A98" s="23">
        <v>46199</v>
      </c>
      <c r="B98" s="21" t="s">
        <v>43</v>
      </c>
      <c r="C98" s="21" t="s">
        <v>64</v>
      </c>
      <c r="D98" s="21">
        <v>4</v>
      </c>
      <c r="E98" s="21">
        <v>30</v>
      </c>
      <c r="F98" s="21" t="s">
        <v>45</v>
      </c>
      <c r="G98" s="21" t="s">
        <v>182</v>
      </c>
      <c r="H98" s="21"/>
      <c r="I98" s="21" t="s">
        <v>159</v>
      </c>
      <c r="J98" s="26">
        <v>12</v>
      </c>
      <c r="K98" s="26">
        <v>360</v>
      </c>
    </row>
    <row r="99" spans="1:11" x14ac:dyDescent="0.25">
      <c r="A99" s="23">
        <v>46199</v>
      </c>
      <c r="B99" s="21" t="s">
        <v>43</v>
      </c>
      <c r="C99" s="21" t="s">
        <v>64</v>
      </c>
      <c r="D99" s="21">
        <v>5</v>
      </c>
      <c r="E99" s="21">
        <v>5</v>
      </c>
      <c r="F99" s="21" t="s">
        <v>45</v>
      </c>
      <c r="G99" s="21" t="s">
        <v>183</v>
      </c>
      <c r="H99" s="21"/>
      <c r="I99" s="21" t="s">
        <v>159</v>
      </c>
      <c r="J99" s="26">
        <v>230</v>
      </c>
      <c r="K99" s="26">
        <v>1150</v>
      </c>
    </row>
    <row r="100" spans="1:11" x14ac:dyDescent="0.25">
      <c r="A100" s="23">
        <v>46199</v>
      </c>
      <c r="B100" s="21" t="s">
        <v>76</v>
      </c>
      <c r="C100" s="21" t="s">
        <v>184</v>
      </c>
      <c r="D100" s="21">
        <v>1</v>
      </c>
      <c r="E100" s="21">
        <v>4</v>
      </c>
      <c r="F100" s="21" t="s">
        <v>185</v>
      </c>
      <c r="G100" s="21" t="s">
        <v>186</v>
      </c>
      <c r="H100" s="21" t="s">
        <v>188</v>
      </c>
      <c r="I100" s="21" t="s">
        <v>190</v>
      </c>
      <c r="J100" s="26">
        <v>531.41999999999996</v>
      </c>
      <c r="K100" s="26">
        <v>2125.6799999999998</v>
      </c>
    </row>
    <row r="101" spans="1:11" x14ac:dyDescent="0.25">
      <c r="A101" s="23">
        <v>46199</v>
      </c>
      <c r="B101" s="21" t="s">
        <v>76</v>
      </c>
      <c r="C101" s="21" t="s">
        <v>184</v>
      </c>
      <c r="D101" s="21">
        <v>2</v>
      </c>
      <c r="E101" s="21">
        <v>3</v>
      </c>
      <c r="F101" s="21" t="s">
        <v>185</v>
      </c>
      <c r="G101" s="21" t="s">
        <v>187</v>
      </c>
      <c r="H101" s="21" t="s">
        <v>189</v>
      </c>
      <c r="I101" s="21" t="s">
        <v>190</v>
      </c>
      <c r="J101" s="26">
        <v>307.42</v>
      </c>
      <c r="K101" s="26">
        <v>922.26</v>
      </c>
    </row>
    <row r="102" spans="1:11" x14ac:dyDescent="0.25">
      <c r="A102" s="23">
        <v>46199</v>
      </c>
      <c r="B102" s="21" t="s">
        <v>76</v>
      </c>
      <c r="C102" s="21" t="s">
        <v>44</v>
      </c>
      <c r="D102" s="21">
        <v>1</v>
      </c>
      <c r="E102" s="21">
        <v>1</v>
      </c>
      <c r="F102" s="21" t="s">
        <v>150</v>
      </c>
      <c r="G102" s="21" t="s">
        <v>191</v>
      </c>
      <c r="H102" s="21"/>
      <c r="I102" s="21" t="s">
        <v>192</v>
      </c>
      <c r="J102" s="26">
        <v>590.51</v>
      </c>
      <c r="K102" s="26">
        <v>590.51</v>
      </c>
    </row>
    <row r="103" spans="1:11" x14ac:dyDescent="0.25">
      <c r="A103" s="23">
        <v>46199</v>
      </c>
      <c r="B103" s="21" t="s">
        <v>43</v>
      </c>
      <c r="C103" s="21" t="s">
        <v>286</v>
      </c>
      <c r="D103" s="21">
        <v>1</v>
      </c>
      <c r="E103" s="21">
        <v>3</v>
      </c>
      <c r="F103" s="21" t="s">
        <v>45</v>
      </c>
      <c r="G103" s="21" t="s">
        <v>276</v>
      </c>
      <c r="H103" s="21" t="s">
        <v>277</v>
      </c>
      <c r="I103" s="21" t="s">
        <v>280</v>
      </c>
      <c r="J103" s="26">
        <v>76.48</v>
      </c>
      <c r="K103" s="26">
        <v>229.44</v>
      </c>
    </row>
    <row r="104" spans="1:11" x14ac:dyDescent="0.25">
      <c r="A104" s="23">
        <v>46199</v>
      </c>
      <c r="B104" s="21" t="s">
        <v>43</v>
      </c>
      <c r="C104" s="21" t="s">
        <v>286</v>
      </c>
      <c r="D104" s="21">
        <v>2</v>
      </c>
      <c r="E104" s="21">
        <v>3</v>
      </c>
      <c r="F104" s="21" t="s">
        <v>45</v>
      </c>
      <c r="G104" s="21" t="s">
        <v>287</v>
      </c>
      <c r="H104" s="21" t="s">
        <v>277</v>
      </c>
      <c r="I104" s="21" t="s">
        <v>280</v>
      </c>
      <c r="J104" s="26">
        <v>66.849999999999994</v>
      </c>
      <c r="K104" s="26">
        <v>200.54999999999998</v>
      </c>
    </row>
    <row r="105" spans="1:11" x14ac:dyDescent="0.25">
      <c r="A105" s="23">
        <v>46200</v>
      </c>
      <c r="B105" s="21" t="s">
        <v>76</v>
      </c>
      <c r="C105" s="21" t="s">
        <v>193</v>
      </c>
      <c r="D105" s="21">
        <v>1</v>
      </c>
      <c r="E105" s="21">
        <v>2</v>
      </c>
      <c r="F105" s="21" t="s">
        <v>45</v>
      </c>
      <c r="G105" s="21" t="s">
        <v>194</v>
      </c>
      <c r="H105" s="21"/>
      <c r="I105" s="21" t="s">
        <v>195</v>
      </c>
      <c r="J105" s="26">
        <v>1836</v>
      </c>
      <c r="K105" s="26">
        <v>3672</v>
      </c>
    </row>
    <row r="106" spans="1:11" x14ac:dyDescent="0.25">
      <c r="A106" s="23">
        <v>46200</v>
      </c>
      <c r="B106" s="21" t="s">
        <v>196</v>
      </c>
      <c r="C106" s="21" t="s">
        <v>149</v>
      </c>
      <c r="D106" s="21">
        <v>1</v>
      </c>
      <c r="E106" s="21">
        <v>5</v>
      </c>
      <c r="F106" s="21" t="s">
        <v>45</v>
      </c>
      <c r="G106" s="21" t="s">
        <v>197</v>
      </c>
      <c r="H106" s="21"/>
      <c r="I106" s="21" t="s">
        <v>198</v>
      </c>
      <c r="J106" s="26">
        <v>18.79</v>
      </c>
      <c r="K106" s="26">
        <v>93.949999999999989</v>
      </c>
    </row>
    <row r="107" spans="1:11" x14ac:dyDescent="0.25">
      <c r="A107" s="23">
        <v>46200</v>
      </c>
      <c r="B107" s="21" t="s">
        <v>196</v>
      </c>
      <c r="C107" s="21" t="s">
        <v>149</v>
      </c>
      <c r="D107" s="21">
        <v>2</v>
      </c>
      <c r="E107" s="21">
        <v>5</v>
      </c>
      <c r="F107" s="21" t="s">
        <v>45</v>
      </c>
      <c r="G107" s="21" t="s">
        <v>199</v>
      </c>
      <c r="H107" s="21"/>
      <c r="I107" s="21" t="s">
        <v>198</v>
      </c>
      <c r="J107" s="26">
        <v>26.1</v>
      </c>
      <c r="K107" s="26">
        <v>130.5</v>
      </c>
    </row>
    <row r="108" spans="1:11" x14ac:dyDescent="0.25">
      <c r="A108" s="23">
        <v>46200</v>
      </c>
      <c r="B108" s="21" t="s">
        <v>196</v>
      </c>
      <c r="C108" s="21" t="s">
        <v>149</v>
      </c>
      <c r="D108" s="21">
        <v>3</v>
      </c>
      <c r="E108" s="21">
        <v>2</v>
      </c>
      <c r="F108" s="21" t="s">
        <v>45</v>
      </c>
      <c r="G108" s="21" t="s">
        <v>200</v>
      </c>
      <c r="H108" s="21"/>
      <c r="I108" s="21" t="s">
        <v>198</v>
      </c>
      <c r="J108" s="26">
        <v>165</v>
      </c>
      <c r="K108" s="26">
        <v>330</v>
      </c>
    </row>
    <row r="109" spans="1:11" x14ac:dyDescent="0.25">
      <c r="A109" s="23">
        <v>46200</v>
      </c>
      <c r="B109" s="21" t="s">
        <v>196</v>
      </c>
      <c r="C109" s="21" t="s">
        <v>119</v>
      </c>
      <c r="D109" s="21">
        <v>1</v>
      </c>
      <c r="E109" s="21">
        <v>1</v>
      </c>
      <c r="F109" s="21" t="s">
        <v>45</v>
      </c>
      <c r="G109" s="21" t="s">
        <v>201</v>
      </c>
      <c r="H109" s="21"/>
      <c r="I109" s="21" t="s">
        <v>198</v>
      </c>
      <c r="J109" s="26">
        <v>922.41</v>
      </c>
      <c r="K109" s="26">
        <v>922.41</v>
      </c>
    </row>
    <row r="110" spans="1:11" x14ac:dyDescent="0.25">
      <c r="A110" s="23">
        <v>46200</v>
      </c>
      <c r="B110" s="21" t="s">
        <v>196</v>
      </c>
      <c r="C110" s="21" t="s">
        <v>119</v>
      </c>
      <c r="D110" s="21">
        <v>2</v>
      </c>
      <c r="E110" s="21">
        <v>1</v>
      </c>
      <c r="F110" s="21" t="s">
        <v>45</v>
      </c>
      <c r="G110" s="21" t="s">
        <v>202</v>
      </c>
      <c r="H110" s="21"/>
      <c r="I110" s="21" t="s">
        <v>198</v>
      </c>
      <c r="J110" s="26">
        <v>400.86</v>
      </c>
      <c r="K110" s="26">
        <v>400.86</v>
      </c>
    </row>
    <row r="111" spans="1:11" x14ac:dyDescent="0.25">
      <c r="A111" s="23">
        <v>46200</v>
      </c>
      <c r="B111" s="21" t="s">
        <v>196</v>
      </c>
      <c r="C111" s="21" t="s">
        <v>119</v>
      </c>
      <c r="D111" s="21">
        <v>3</v>
      </c>
      <c r="E111" s="21">
        <v>2</v>
      </c>
      <c r="F111" s="21" t="s">
        <v>45</v>
      </c>
      <c r="G111" s="21" t="s">
        <v>203</v>
      </c>
      <c r="H111" s="21"/>
      <c r="I111" s="21" t="s">
        <v>198</v>
      </c>
      <c r="J111" s="26">
        <v>500.3</v>
      </c>
      <c r="K111" s="26">
        <v>1000.6</v>
      </c>
    </row>
    <row r="112" spans="1:11" x14ac:dyDescent="0.25">
      <c r="A112" s="23">
        <v>46200</v>
      </c>
      <c r="B112" s="21" t="s">
        <v>196</v>
      </c>
      <c r="C112" s="21" t="s">
        <v>149</v>
      </c>
      <c r="D112" s="21">
        <v>1</v>
      </c>
      <c r="E112" s="21">
        <v>1</v>
      </c>
      <c r="F112" s="21" t="s">
        <v>45</v>
      </c>
      <c r="G112" s="21" t="s">
        <v>204</v>
      </c>
      <c r="H112" s="21"/>
      <c r="I112" s="21" t="s">
        <v>198</v>
      </c>
      <c r="J112" s="26">
        <v>1841.28</v>
      </c>
      <c r="K112" s="26">
        <v>1841.28</v>
      </c>
    </row>
    <row r="113" spans="1:11" x14ac:dyDescent="0.25">
      <c r="A113" s="23">
        <v>46200</v>
      </c>
      <c r="B113" s="21" t="s">
        <v>196</v>
      </c>
      <c r="C113" s="21" t="s">
        <v>205</v>
      </c>
      <c r="D113" s="21">
        <v>1</v>
      </c>
      <c r="E113" s="21">
        <v>1</v>
      </c>
      <c r="F113" s="21" t="s">
        <v>45</v>
      </c>
      <c r="G113" s="21" t="s">
        <v>206</v>
      </c>
      <c r="H113" s="21"/>
      <c r="I113" s="21" t="s">
        <v>198</v>
      </c>
      <c r="J113" s="26">
        <v>210.86</v>
      </c>
      <c r="K113" s="26">
        <v>210.86</v>
      </c>
    </row>
    <row r="114" spans="1:11" x14ac:dyDescent="0.25">
      <c r="A114" s="23">
        <v>46200</v>
      </c>
      <c r="B114" s="21" t="s">
        <v>76</v>
      </c>
      <c r="C114" s="21" t="s">
        <v>207</v>
      </c>
      <c r="D114" s="21">
        <v>1</v>
      </c>
      <c r="E114" s="21">
        <v>1</v>
      </c>
      <c r="F114" s="21" t="s">
        <v>208</v>
      </c>
      <c r="G114" s="21" t="s">
        <v>209</v>
      </c>
      <c r="H114" s="21" t="s">
        <v>212</v>
      </c>
      <c r="I114" s="21" t="s">
        <v>214</v>
      </c>
      <c r="J114" s="26">
        <v>264.86</v>
      </c>
      <c r="K114" s="26">
        <v>264.86</v>
      </c>
    </row>
    <row r="115" spans="1:11" x14ac:dyDescent="0.25">
      <c r="A115" s="23">
        <v>46200</v>
      </c>
      <c r="B115" s="21" t="s">
        <v>76</v>
      </c>
      <c r="C115" s="21" t="s">
        <v>207</v>
      </c>
      <c r="D115" s="21">
        <v>2</v>
      </c>
      <c r="E115" s="21">
        <v>1</v>
      </c>
      <c r="F115" s="21" t="s">
        <v>208</v>
      </c>
      <c r="G115" s="21" t="s">
        <v>210</v>
      </c>
      <c r="H115" s="21" t="s">
        <v>213</v>
      </c>
      <c r="I115" s="21" t="s">
        <v>214</v>
      </c>
      <c r="J115" s="26">
        <v>474.14</v>
      </c>
      <c r="K115" s="26">
        <v>474.14</v>
      </c>
    </row>
    <row r="116" spans="1:11" x14ac:dyDescent="0.25">
      <c r="A116" s="23">
        <v>46200</v>
      </c>
      <c r="B116" s="21" t="s">
        <v>76</v>
      </c>
      <c r="C116" s="21" t="s">
        <v>207</v>
      </c>
      <c r="D116" s="21">
        <v>3</v>
      </c>
      <c r="E116" s="21">
        <v>1</v>
      </c>
      <c r="F116" s="21" t="s">
        <v>150</v>
      </c>
      <c r="G116" s="21" t="s">
        <v>211</v>
      </c>
      <c r="H116" s="21" t="s">
        <v>213</v>
      </c>
      <c r="I116" s="21" t="s">
        <v>214</v>
      </c>
      <c r="J116" s="26">
        <v>18.97</v>
      </c>
      <c r="K116" s="26">
        <v>18.97</v>
      </c>
    </row>
    <row r="117" spans="1:11" x14ac:dyDescent="0.25">
      <c r="A117" s="23">
        <v>46202</v>
      </c>
      <c r="B117" s="21" t="s">
        <v>76</v>
      </c>
      <c r="C117" s="21" t="s">
        <v>215</v>
      </c>
      <c r="D117" s="21">
        <v>1</v>
      </c>
      <c r="E117" s="21">
        <v>1</v>
      </c>
      <c r="F117" s="21" t="s">
        <v>150</v>
      </c>
      <c r="G117" s="21" t="s">
        <v>216</v>
      </c>
      <c r="H117" s="21" t="s">
        <v>217</v>
      </c>
      <c r="I117" s="21" t="s">
        <v>218</v>
      </c>
      <c r="J117" s="26">
        <v>405</v>
      </c>
      <c r="K117" s="26">
        <v>405</v>
      </c>
    </row>
    <row r="118" spans="1:11" x14ac:dyDescent="0.25">
      <c r="A118" s="23">
        <v>46202</v>
      </c>
      <c r="B118" s="21" t="s">
        <v>43</v>
      </c>
      <c r="C118" s="21" t="s">
        <v>215</v>
      </c>
      <c r="D118" s="21">
        <v>1</v>
      </c>
      <c r="E118" s="21">
        <v>1</v>
      </c>
      <c r="F118" s="21" t="s">
        <v>150</v>
      </c>
      <c r="G118" s="21" t="s">
        <v>220</v>
      </c>
      <c r="H118" s="21"/>
      <c r="I118" s="21" t="s">
        <v>219</v>
      </c>
      <c r="J118" s="26">
        <v>62</v>
      </c>
      <c r="K118" s="26">
        <v>62</v>
      </c>
    </row>
    <row r="119" spans="1:11" x14ac:dyDescent="0.25">
      <c r="A119" s="23">
        <v>46202</v>
      </c>
      <c r="B119" s="21" t="s">
        <v>76</v>
      </c>
      <c r="C119" s="21" t="s">
        <v>119</v>
      </c>
      <c r="D119" s="21">
        <v>1</v>
      </c>
      <c r="E119" s="21">
        <v>10</v>
      </c>
      <c r="F119" s="21" t="s">
        <v>150</v>
      </c>
      <c r="G119" s="21" t="s">
        <v>221</v>
      </c>
      <c r="H119" s="21"/>
      <c r="I119" s="21" t="s">
        <v>112</v>
      </c>
      <c r="J119" s="26">
        <v>68.97</v>
      </c>
      <c r="K119" s="26">
        <v>689.7</v>
      </c>
    </row>
    <row r="120" spans="1:11" x14ac:dyDescent="0.25">
      <c r="A120" s="23">
        <v>46202</v>
      </c>
      <c r="B120" s="21" t="s">
        <v>76</v>
      </c>
      <c r="C120" s="21" t="s">
        <v>119</v>
      </c>
      <c r="D120" s="21">
        <v>1</v>
      </c>
      <c r="E120" s="21">
        <v>2</v>
      </c>
      <c r="F120" s="21" t="s">
        <v>150</v>
      </c>
      <c r="G120" s="21" t="s">
        <v>223</v>
      </c>
      <c r="H120" s="21"/>
      <c r="I120" s="21" t="s">
        <v>112</v>
      </c>
      <c r="J120" s="26">
        <v>229</v>
      </c>
      <c r="K120" s="26">
        <v>458</v>
      </c>
    </row>
    <row r="121" spans="1:11" x14ac:dyDescent="0.25">
      <c r="A121" s="23">
        <v>46202</v>
      </c>
      <c r="B121" s="21" t="s">
        <v>76</v>
      </c>
      <c r="C121" s="21" t="s">
        <v>119</v>
      </c>
      <c r="D121" s="21">
        <v>2</v>
      </c>
      <c r="E121" s="21">
        <v>2</v>
      </c>
      <c r="F121" s="21" t="s">
        <v>45</v>
      </c>
      <c r="G121" s="21" t="s">
        <v>222</v>
      </c>
      <c r="H121" s="21"/>
      <c r="I121" s="21" t="s">
        <v>112</v>
      </c>
      <c r="J121" s="26">
        <v>145</v>
      </c>
      <c r="K121" s="26">
        <v>290</v>
      </c>
    </row>
    <row r="122" spans="1:11" x14ac:dyDescent="0.25">
      <c r="A122" s="23">
        <v>46202</v>
      </c>
      <c r="B122" s="21" t="s">
        <v>196</v>
      </c>
      <c r="C122" s="21" t="s">
        <v>166</v>
      </c>
      <c r="D122" s="21">
        <v>1</v>
      </c>
      <c r="E122" s="21">
        <v>20</v>
      </c>
      <c r="F122" s="21" t="s">
        <v>65</v>
      </c>
      <c r="G122" s="21" t="s">
        <v>126</v>
      </c>
      <c r="H122" s="21"/>
      <c r="I122" s="21" t="s">
        <v>224</v>
      </c>
      <c r="J122" s="26">
        <v>59.07</v>
      </c>
      <c r="K122" s="26">
        <v>1181.4000000000001</v>
      </c>
    </row>
    <row r="123" spans="1:11" x14ac:dyDescent="0.25">
      <c r="A123" s="23">
        <v>46202</v>
      </c>
      <c r="B123" s="21" t="s">
        <v>196</v>
      </c>
      <c r="C123" s="21" t="s">
        <v>166</v>
      </c>
      <c r="D123" s="21">
        <v>2</v>
      </c>
      <c r="E123" s="21">
        <v>10</v>
      </c>
      <c r="F123" s="21" t="s">
        <v>65</v>
      </c>
      <c r="G123" s="21" t="s">
        <v>123</v>
      </c>
      <c r="H123" s="21"/>
      <c r="I123" s="21" t="s">
        <v>224</v>
      </c>
      <c r="J123" s="26">
        <v>67.92</v>
      </c>
      <c r="K123" s="26">
        <v>679.2</v>
      </c>
    </row>
    <row r="124" spans="1:11" x14ac:dyDescent="0.25">
      <c r="A124" s="23">
        <v>46202</v>
      </c>
      <c r="B124" s="21" t="s">
        <v>229</v>
      </c>
      <c r="C124" s="21" t="s">
        <v>225</v>
      </c>
      <c r="D124" s="21">
        <v>1</v>
      </c>
      <c r="E124" s="21">
        <v>7</v>
      </c>
      <c r="F124" s="21" t="s">
        <v>45</v>
      </c>
      <c r="G124" s="21" t="s">
        <v>226</v>
      </c>
      <c r="H124" s="21"/>
      <c r="I124" s="21" t="s">
        <v>228</v>
      </c>
      <c r="J124" s="26">
        <v>2002.28</v>
      </c>
      <c r="K124" s="26">
        <v>14015.96</v>
      </c>
    </row>
    <row r="125" spans="1:11" x14ac:dyDescent="0.25">
      <c r="A125" s="23">
        <v>46202</v>
      </c>
      <c r="B125" s="21" t="s">
        <v>229</v>
      </c>
      <c r="C125" s="21" t="s">
        <v>225</v>
      </c>
      <c r="D125" s="21">
        <v>2</v>
      </c>
      <c r="E125" s="21">
        <v>9</v>
      </c>
      <c r="F125" s="21" t="s">
        <v>45</v>
      </c>
      <c r="G125" s="21" t="s">
        <v>227</v>
      </c>
      <c r="H125" s="21"/>
      <c r="I125" s="21" t="s">
        <v>228</v>
      </c>
      <c r="J125" s="26">
        <v>1396.73</v>
      </c>
      <c r="K125" s="26">
        <v>12570.57</v>
      </c>
    </row>
    <row r="126" spans="1:11" x14ac:dyDescent="0.25">
      <c r="A126" s="23">
        <v>46202</v>
      </c>
      <c r="B126" s="21" t="s">
        <v>229</v>
      </c>
      <c r="C126" s="21" t="s">
        <v>193</v>
      </c>
      <c r="D126" s="21">
        <v>1</v>
      </c>
      <c r="E126" s="21">
        <v>1</v>
      </c>
      <c r="F126" s="21" t="s">
        <v>230</v>
      </c>
      <c r="G126" s="21" t="s">
        <v>231</v>
      </c>
      <c r="H126" s="21"/>
      <c r="I126" s="21" t="s">
        <v>228</v>
      </c>
      <c r="J126" s="26">
        <v>10807.28</v>
      </c>
      <c r="K126" s="26">
        <v>10807.28</v>
      </c>
    </row>
    <row r="127" spans="1:11" x14ac:dyDescent="0.25">
      <c r="A127" s="23">
        <v>46203</v>
      </c>
      <c r="B127" s="21" t="s">
        <v>31</v>
      </c>
      <c r="C127" s="21" t="s">
        <v>232</v>
      </c>
      <c r="D127" s="21">
        <v>1</v>
      </c>
      <c r="E127" s="21">
        <v>1</v>
      </c>
      <c r="F127" s="21" t="s">
        <v>150</v>
      </c>
      <c r="G127" s="21" t="s">
        <v>233</v>
      </c>
      <c r="H127" s="21"/>
      <c r="I127" s="21" t="s">
        <v>146</v>
      </c>
      <c r="J127" s="26">
        <v>228.31</v>
      </c>
      <c r="K127" s="26">
        <v>228.31</v>
      </c>
    </row>
    <row r="128" spans="1:11" x14ac:dyDescent="0.25">
      <c r="A128" s="23">
        <v>46203</v>
      </c>
      <c r="B128" s="21" t="s">
        <v>31</v>
      </c>
      <c r="C128" s="21" t="s">
        <v>119</v>
      </c>
      <c r="D128" s="21">
        <v>1</v>
      </c>
      <c r="E128" s="21">
        <v>1</v>
      </c>
      <c r="F128" s="21" t="s">
        <v>150</v>
      </c>
      <c r="G128" s="21" t="s">
        <v>234</v>
      </c>
      <c r="H128" s="21"/>
      <c r="I128" s="21" t="s">
        <v>146</v>
      </c>
      <c r="J128" s="26">
        <v>175</v>
      </c>
      <c r="K128" s="26">
        <v>175</v>
      </c>
    </row>
    <row r="129" spans="1:11" x14ac:dyDescent="0.25">
      <c r="A129" s="23">
        <v>46203</v>
      </c>
      <c r="B129" s="21" t="s">
        <v>76</v>
      </c>
      <c r="C129" s="21" t="s">
        <v>176</v>
      </c>
      <c r="D129" s="21">
        <v>1</v>
      </c>
      <c r="E129" s="21">
        <v>12</v>
      </c>
      <c r="F129" s="21" t="s">
        <v>150</v>
      </c>
      <c r="G129" s="21" t="s">
        <v>235</v>
      </c>
      <c r="H129" s="21"/>
      <c r="I129" s="21" t="s">
        <v>164</v>
      </c>
      <c r="J129" s="26">
        <v>24</v>
      </c>
      <c r="K129" s="26">
        <v>288</v>
      </c>
    </row>
    <row r="130" spans="1:11" x14ac:dyDescent="0.25">
      <c r="A130" s="23">
        <v>46203</v>
      </c>
      <c r="B130" s="21" t="s">
        <v>43</v>
      </c>
      <c r="C130" s="21" t="s">
        <v>58</v>
      </c>
      <c r="D130" s="21">
        <v>1</v>
      </c>
      <c r="E130" s="21">
        <v>12</v>
      </c>
      <c r="F130" s="21" t="s">
        <v>150</v>
      </c>
      <c r="G130" s="21" t="s">
        <v>236</v>
      </c>
      <c r="H130" s="21"/>
      <c r="I130" s="21" t="s">
        <v>238</v>
      </c>
      <c r="J130" s="26">
        <v>22.41</v>
      </c>
      <c r="K130" s="26">
        <v>268.92</v>
      </c>
    </row>
    <row r="131" spans="1:11" x14ac:dyDescent="0.25">
      <c r="A131" s="23">
        <v>46203</v>
      </c>
      <c r="B131" s="21" t="s">
        <v>43</v>
      </c>
      <c r="C131" s="21" t="s">
        <v>58</v>
      </c>
      <c r="D131" s="21">
        <v>2</v>
      </c>
      <c r="E131" s="21">
        <v>2</v>
      </c>
      <c r="F131" s="21" t="s">
        <v>45</v>
      </c>
      <c r="G131" s="21" t="s">
        <v>237</v>
      </c>
      <c r="H131" s="21"/>
      <c r="I131" s="21" t="s">
        <v>238</v>
      </c>
      <c r="J131" s="26">
        <v>3502</v>
      </c>
      <c r="K131" s="26">
        <v>7004</v>
      </c>
    </row>
    <row r="132" spans="1:11" x14ac:dyDescent="0.25">
      <c r="A132" s="23">
        <v>46203</v>
      </c>
      <c r="B132" s="21" t="s">
        <v>43</v>
      </c>
      <c r="C132" s="21" t="s">
        <v>58</v>
      </c>
      <c r="D132" s="21">
        <v>3</v>
      </c>
      <c r="E132" s="21">
        <v>3</v>
      </c>
      <c r="F132" s="21" t="s">
        <v>120</v>
      </c>
      <c r="G132" s="21" t="s">
        <v>239</v>
      </c>
      <c r="H132" s="21"/>
      <c r="I132" s="21" t="s">
        <v>238</v>
      </c>
      <c r="J132" s="26">
        <v>321.3</v>
      </c>
      <c r="K132" s="26">
        <v>963.90000000000009</v>
      </c>
    </row>
    <row r="133" spans="1:11" x14ac:dyDescent="0.25">
      <c r="A133" s="23">
        <v>46203</v>
      </c>
      <c r="B133" s="21" t="s">
        <v>43</v>
      </c>
      <c r="C133" s="21" t="s">
        <v>240</v>
      </c>
      <c r="D133" s="21">
        <v>1</v>
      </c>
      <c r="E133" s="21">
        <v>2</v>
      </c>
      <c r="F133" s="21" t="s">
        <v>150</v>
      </c>
      <c r="G133" s="21" t="s">
        <v>241</v>
      </c>
      <c r="H133" s="21"/>
      <c r="I133" s="21" t="s">
        <v>242</v>
      </c>
      <c r="J133" s="26">
        <v>308.62</v>
      </c>
      <c r="K133" s="26">
        <v>617.24</v>
      </c>
    </row>
    <row r="134" spans="1:11" x14ac:dyDescent="0.25">
      <c r="A134" s="23">
        <v>46203</v>
      </c>
      <c r="B134" s="21" t="s">
        <v>76</v>
      </c>
      <c r="C134" s="21" t="s">
        <v>243</v>
      </c>
      <c r="D134" s="21">
        <v>1</v>
      </c>
      <c r="E134" s="21">
        <v>1</v>
      </c>
      <c r="F134" s="21" t="s">
        <v>150</v>
      </c>
      <c r="G134" s="21" t="s">
        <v>244</v>
      </c>
      <c r="H134" s="21"/>
      <c r="I134" s="21" t="s">
        <v>245</v>
      </c>
      <c r="J134" s="26">
        <v>1489.47</v>
      </c>
      <c r="K134" s="26">
        <v>1489.47</v>
      </c>
    </row>
    <row r="135" spans="1:11" x14ac:dyDescent="0.25">
      <c r="A135" s="23">
        <v>46203</v>
      </c>
      <c r="B135" s="21" t="s">
        <v>76</v>
      </c>
      <c r="C135" s="21" t="s">
        <v>240</v>
      </c>
      <c r="D135" s="21">
        <v>1</v>
      </c>
      <c r="E135" s="21">
        <v>2</v>
      </c>
      <c r="F135" s="21" t="s">
        <v>150</v>
      </c>
      <c r="G135" s="21" t="s">
        <v>246</v>
      </c>
      <c r="H135" s="21"/>
      <c r="I135" s="21" t="s">
        <v>247</v>
      </c>
      <c r="J135" s="26">
        <v>322.64</v>
      </c>
      <c r="K135" s="26">
        <v>645.28</v>
      </c>
    </row>
    <row r="136" spans="1:11" x14ac:dyDescent="0.25">
      <c r="A136" s="23">
        <v>46203</v>
      </c>
      <c r="B136" s="21" t="s">
        <v>162</v>
      </c>
      <c r="C136" s="21" t="s">
        <v>119</v>
      </c>
      <c r="D136" s="21">
        <v>1</v>
      </c>
      <c r="E136" s="21">
        <v>2</v>
      </c>
      <c r="F136" s="21" t="s">
        <v>120</v>
      </c>
      <c r="G136" s="21" t="s">
        <v>292</v>
      </c>
      <c r="H136" s="21"/>
      <c r="I136" s="21" t="s">
        <v>293</v>
      </c>
      <c r="J136" s="26">
        <v>578.70000000000005</v>
      </c>
      <c r="K136" s="26">
        <v>1157.4000000000001</v>
      </c>
    </row>
    <row r="137" spans="1:11" x14ac:dyDescent="0.25">
      <c r="A137" s="23">
        <v>46203</v>
      </c>
      <c r="B137" s="21" t="s">
        <v>162</v>
      </c>
      <c r="C137" s="21" t="s">
        <v>119</v>
      </c>
      <c r="D137" s="21">
        <v>1</v>
      </c>
      <c r="E137" s="21">
        <v>1</v>
      </c>
      <c r="F137" s="21" t="s">
        <v>150</v>
      </c>
      <c r="G137" s="21" t="s">
        <v>294</v>
      </c>
      <c r="H137" s="21"/>
      <c r="I137" s="21"/>
      <c r="J137" s="26">
        <v>1425.57</v>
      </c>
      <c r="K137" s="26">
        <v>1425.57</v>
      </c>
    </row>
    <row r="138" spans="1:11" x14ac:dyDescent="0.25">
      <c r="A138" s="23">
        <v>46203</v>
      </c>
      <c r="B138" s="21" t="s">
        <v>162</v>
      </c>
      <c r="C138" s="21" t="s">
        <v>119</v>
      </c>
      <c r="D138" s="21">
        <v>2</v>
      </c>
      <c r="E138" s="21">
        <v>1</v>
      </c>
      <c r="F138" s="21" t="s">
        <v>150</v>
      </c>
      <c r="G138" s="21" t="s">
        <v>295</v>
      </c>
      <c r="H138" s="21"/>
      <c r="I138" s="21"/>
      <c r="J138" s="26">
        <v>2615.5100000000002</v>
      </c>
      <c r="K138" s="26">
        <v>2615.5100000000002</v>
      </c>
    </row>
    <row r="139" spans="1:11" x14ac:dyDescent="0.25">
      <c r="A139" s="23">
        <v>46203</v>
      </c>
      <c r="B139" s="21" t="s">
        <v>43</v>
      </c>
      <c r="C139" s="21" t="s">
        <v>119</v>
      </c>
      <c r="D139" s="21">
        <v>1</v>
      </c>
      <c r="E139" s="21">
        <v>20</v>
      </c>
      <c r="F139" s="21" t="s">
        <v>150</v>
      </c>
      <c r="G139" s="21" t="s">
        <v>298</v>
      </c>
      <c r="H139" s="21"/>
      <c r="I139" s="21"/>
      <c r="J139" s="26">
        <v>22.41</v>
      </c>
      <c r="K139" s="26">
        <v>448.2</v>
      </c>
    </row>
    <row r="140" spans="1:11" x14ac:dyDescent="0.25">
      <c r="A140" s="23">
        <v>46203</v>
      </c>
      <c r="B140" s="21" t="s">
        <v>43</v>
      </c>
      <c r="C140" s="21" t="s">
        <v>119</v>
      </c>
      <c r="D140" s="21">
        <v>2</v>
      </c>
      <c r="E140" s="21">
        <v>2</v>
      </c>
      <c r="F140" s="21" t="s">
        <v>150</v>
      </c>
      <c r="G140" s="21" t="s">
        <v>299</v>
      </c>
      <c r="H140" s="21"/>
      <c r="I140" s="21"/>
      <c r="J140" s="26">
        <v>3502</v>
      </c>
      <c r="K140" s="26">
        <v>7004</v>
      </c>
    </row>
    <row r="141" spans="1:11" x14ac:dyDescent="0.25">
      <c r="A141" s="23">
        <v>46203</v>
      </c>
      <c r="B141" s="21" t="s">
        <v>43</v>
      </c>
      <c r="C141" s="21" t="s">
        <v>119</v>
      </c>
      <c r="D141" s="21">
        <v>3</v>
      </c>
      <c r="E141" s="21">
        <v>3</v>
      </c>
      <c r="F141" s="21" t="s">
        <v>150</v>
      </c>
      <c r="G141" s="21" t="s">
        <v>239</v>
      </c>
      <c r="H141" s="21"/>
      <c r="I141" s="21"/>
      <c r="J141" s="26">
        <v>321.3</v>
      </c>
      <c r="K141" s="26">
        <v>963.90000000000009</v>
      </c>
    </row>
    <row r="142" spans="1:11" x14ac:dyDescent="0.25">
      <c r="A142" s="23"/>
      <c r="B142" s="35">
        <v>46204</v>
      </c>
      <c r="C142" s="36"/>
      <c r="D142" s="36"/>
      <c r="E142" s="36"/>
      <c r="F142" s="36"/>
      <c r="G142" s="36"/>
      <c r="H142" s="36"/>
      <c r="I142" s="37"/>
      <c r="J142" s="26"/>
      <c r="K142" s="26"/>
    </row>
    <row r="143" spans="1:11" x14ac:dyDescent="0.25">
      <c r="A143" s="23">
        <v>46205</v>
      </c>
      <c r="B143" s="21" t="s">
        <v>98</v>
      </c>
      <c r="C143" s="21" t="s">
        <v>248</v>
      </c>
      <c r="D143" s="21">
        <v>1</v>
      </c>
      <c r="E143" s="21">
        <v>1</v>
      </c>
      <c r="F143" s="21" t="s">
        <v>150</v>
      </c>
      <c r="G143" s="21" t="s">
        <v>249</v>
      </c>
      <c r="H143" s="21"/>
      <c r="I143" s="21" t="s">
        <v>252</v>
      </c>
      <c r="J143" s="26">
        <v>3200</v>
      </c>
      <c r="K143" s="26">
        <v>3200</v>
      </c>
    </row>
    <row r="144" spans="1:11" x14ac:dyDescent="0.25">
      <c r="A144" s="23">
        <v>46205</v>
      </c>
      <c r="B144" s="21" t="s">
        <v>98</v>
      </c>
      <c r="C144" s="21" t="s">
        <v>248</v>
      </c>
      <c r="D144" s="21">
        <v>2</v>
      </c>
      <c r="E144" s="21">
        <v>1</v>
      </c>
      <c r="F144" s="21" t="s">
        <v>132</v>
      </c>
      <c r="G144" s="21" t="s">
        <v>250</v>
      </c>
      <c r="H144" s="21"/>
      <c r="I144" s="21" t="s">
        <v>252</v>
      </c>
      <c r="J144" s="26">
        <v>1850</v>
      </c>
      <c r="K144" s="26">
        <v>1850</v>
      </c>
    </row>
    <row r="145" spans="1:11" x14ac:dyDescent="0.25">
      <c r="A145" s="23">
        <v>46205</v>
      </c>
      <c r="B145" s="21" t="s">
        <v>98</v>
      </c>
      <c r="C145" s="21" t="s">
        <v>248</v>
      </c>
      <c r="D145" s="21">
        <v>3</v>
      </c>
      <c r="E145" s="21">
        <v>2</v>
      </c>
      <c r="F145" s="21" t="s">
        <v>132</v>
      </c>
      <c r="G145" s="21" t="s">
        <v>251</v>
      </c>
      <c r="H145" s="21"/>
      <c r="I145" s="21" t="s">
        <v>252</v>
      </c>
      <c r="J145" s="26">
        <v>3000</v>
      </c>
      <c r="K145" s="26">
        <v>6000</v>
      </c>
    </row>
    <row r="146" spans="1:11" x14ac:dyDescent="0.25">
      <c r="A146" s="23">
        <v>46205</v>
      </c>
      <c r="B146" s="21" t="s">
        <v>76</v>
      </c>
      <c r="C146" s="21" t="s">
        <v>253</v>
      </c>
      <c r="D146" s="21">
        <v>1</v>
      </c>
      <c r="E146" s="21">
        <v>15</v>
      </c>
      <c r="F146" s="21" t="s">
        <v>150</v>
      </c>
      <c r="G146" s="21" t="s">
        <v>254</v>
      </c>
      <c r="H146" s="21"/>
      <c r="I146" s="21" t="s">
        <v>255</v>
      </c>
      <c r="J146" s="26">
        <v>188.33</v>
      </c>
      <c r="K146" s="26">
        <v>2824.9500000000003</v>
      </c>
    </row>
    <row r="147" spans="1:11" x14ac:dyDescent="0.25">
      <c r="A147" s="23">
        <v>46205</v>
      </c>
      <c r="B147" s="21" t="s">
        <v>43</v>
      </c>
      <c r="C147" s="21" t="s">
        <v>258</v>
      </c>
      <c r="D147" s="21">
        <v>1</v>
      </c>
      <c r="E147" s="21">
        <v>1</v>
      </c>
      <c r="F147" s="21" t="s">
        <v>150</v>
      </c>
      <c r="G147" s="21" t="s">
        <v>256</v>
      </c>
      <c r="H147" s="21"/>
      <c r="I147" s="21" t="s">
        <v>219</v>
      </c>
      <c r="J147" s="26">
        <v>40</v>
      </c>
      <c r="K147" s="26">
        <v>40</v>
      </c>
    </row>
    <row r="148" spans="1:11" x14ac:dyDescent="0.25">
      <c r="A148" s="23">
        <v>46205</v>
      </c>
      <c r="B148" s="21" t="s">
        <v>43</v>
      </c>
      <c r="C148" s="21" t="s">
        <v>258</v>
      </c>
      <c r="D148" s="21">
        <v>2</v>
      </c>
      <c r="E148" s="21">
        <v>1</v>
      </c>
      <c r="F148" s="21" t="s">
        <v>150</v>
      </c>
      <c r="G148" s="21" t="s">
        <v>257</v>
      </c>
      <c r="H148" s="21"/>
      <c r="I148" s="21" t="s">
        <v>219</v>
      </c>
      <c r="J148" s="26">
        <v>22</v>
      </c>
      <c r="K148" s="26">
        <v>22</v>
      </c>
    </row>
    <row r="149" spans="1:11" x14ac:dyDescent="0.25">
      <c r="A149" s="23">
        <v>46205</v>
      </c>
      <c r="B149" s="21" t="s">
        <v>43</v>
      </c>
      <c r="C149" s="21" t="s">
        <v>259</v>
      </c>
      <c r="D149" s="21">
        <v>1</v>
      </c>
      <c r="E149" s="21">
        <v>2</v>
      </c>
      <c r="F149" s="21" t="s">
        <v>150</v>
      </c>
      <c r="G149" s="21" t="s">
        <v>260</v>
      </c>
      <c r="H149" s="21"/>
      <c r="I149" s="21" t="s">
        <v>219</v>
      </c>
      <c r="J149" s="26">
        <v>128.15</v>
      </c>
      <c r="K149" s="26">
        <v>256.3</v>
      </c>
    </row>
    <row r="150" spans="1:11" x14ac:dyDescent="0.25">
      <c r="A150" s="23">
        <v>46205</v>
      </c>
      <c r="B150" s="21" t="s">
        <v>43</v>
      </c>
      <c r="C150" s="21" t="s">
        <v>259</v>
      </c>
      <c r="D150" s="21">
        <v>2</v>
      </c>
      <c r="E150" s="21">
        <v>16</v>
      </c>
      <c r="F150" s="21" t="s">
        <v>150</v>
      </c>
      <c r="G150" s="21" t="s">
        <v>261</v>
      </c>
      <c r="H150" s="21"/>
      <c r="I150" s="21" t="s">
        <v>219</v>
      </c>
      <c r="J150" s="26">
        <v>22</v>
      </c>
      <c r="K150" s="26">
        <v>352</v>
      </c>
    </row>
    <row r="151" spans="1:11" x14ac:dyDescent="0.25">
      <c r="A151" s="23">
        <v>46205</v>
      </c>
      <c r="B151" s="21" t="s">
        <v>43</v>
      </c>
      <c r="C151" s="21" t="s">
        <v>259</v>
      </c>
      <c r="D151" s="21">
        <v>3</v>
      </c>
      <c r="E151" s="21">
        <v>16</v>
      </c>
      <c r="F151" s="21" t="s">
        <v>45</v>
      </c>
      <c r="G151" s="21" t="s">
        <v>262</v>
      </c>
      <c r="H151" s="21"/>
      <c r="I151" s="21" t="s">
        <v>219</v>
      </c>
      <c r="J151" s="26">
        <v>3</v>
      </c>
      <c r="K151" s="26">
        <v>48</v>
      </c>
    </row>
    <row r="152" spans="1:11" x14ac:dyDescent="0.25">
      <c r="A152" s="23">
        <v>46213</v>
      </c>
      <c r="B152" s="21" t="s">
        <v>306</v>
      </c>
      <c r="C152" s="21" t="s">
        <v>303</v>
      </c>
      <c r="D152" s="21">
        <v>1</v>
      </c>
      <c r="E152" s="21">
        <v>4</v>
      </c>
      <c r="F152" s="21" t="s">
        <v>45</v>
      </c>
      <c r="G152" s="21" t="s">
        <v>304</v>
      </c>
      <c r="H152" s="21"/>
      <c r="I152" s="21" t="s">
        <v>252</v>
      </c>
      <c r="J152" s="26">
        <v>798</v>
      </c>
      <c r="K152" s="26">
        <v>3192</v>
      </c>
    </row>
    <row r="153" spans="1:11" x14ac:dyDescent="0.25">
      <c r="A153" s="23">
        <v>46213</v>
      </c>
      <c r="B153" s="21" t="s">
        <v>306</v>
      </c>
      <c r="C153" s="21" t="s">
        <v>303</v>
      </c>
      <c r="D153" s="21">
        <v>2</v>
      </c>
      <c r="E153" s="21">
        <v>10</v>
      </c>
      <c r="F153" s="21" t="s">
        <v>45</v>
      </c>
      <c r="G153" s="21" t="s">
        <v>305</v>
      </c>
      <c r="H153" s="21"/>
      <c r="I153" s="21" t="s">
        <v>218</v>
      </c>
      <c r="J153" s="26">
        <v>661.2</v>
      </c>
      <c r="K153" s="26">
        <v>6612</v>
      </c>
    </row>
    <row r="154" spans="1:11" x14ac:dyDescent="0.25">
      <c r="A154" s="23">
        <v>46210</v>
      </c>
      <c r="B154" s="21" t="s">
        <v>162</v>
      </c>
      <c r="C154" s="21" t="s">
        <v>307</v>
      </c>
      <c r="D154" s="21">
        <v>1</v>
      </c>
      <c r="E154" s="21">
        <v>1</v>
      </c>
      <c r="F154" s="21" t="s">
        <v>150</v>
      </c>
      <c r="G154" s="21" t="s">
        <v>308</v>
      </c>
      <c r="H154" s="21"/>
      <c r="I154" s="21" t="s">
        <v>252</v>
      </c>
      <c r="J154" s="26">
        <v>31.39</v>
      </c>
      <c r="K154" s="26">
        <v>31.39</v>
      </c>
    </row>
    <row r="155" spans="1:11" x14ac:dyDescent="0.25">
      <c r="A155" s="23">
        <v>46210</v>
      </c>
      <c r="B155" s="21" t="s">
        <v>162</v>
      </c>
      <c r="C155" s="21" t="s">
        <v>225</v>
      </c>
      <c r="D155" s="21">
        <v>1</v>
      </c>
      <c r="E155" s="21">
        <v>7</v>
      </c>
      <c r="F155" s="21" t="s">
        <v>45</v>
      </c>
      <c r="G155" s="21" t="s">
        <v>241</v>
      </c>
      <c r="H155" s="21"/>
      <c r="I155" s="21" t="s">
        <v>302</v>
      </c>
      <c r="J155" s="26">
        <v>287.95</v>
      </c>
      <c r="K155" s="26">
        <v>2015.6499999999999</v>
      </c>
    </row>
    <row r="156" spans="1:11" x14ac:dyDescent="0.25">
      <c r="A156" s="23">
        <v>46581</v>
      </c>
      <c r="B156" s="21" t="s">
        <v>162</v>
      </c>
      <c r="C156" s="21" t="s">
        <v>309</v>
      </c>
      <c r="D156" s="21">
        <v>1</v>
      </c>
      <c r="E156" s="21">
        <v>1</v>
      </c>
      <c r="F156" s="21" t="s">
        <v>310</v>
      </c>
      <c r="G156" s="21" t="s">
        <v>311</v>
      </c>
      <c r="H156" s="21"/>
      <c r="I156" s="21" t="s">
        <v>238</v>
      </c>
      <c r="J156" s="26">
        <v>5140.21</v>
      </c>
      <c r="K156" s="26">
        <v>5140.21</v>
      </c>
    </row>
    <row r="157" spans="1:11" x14ac:dyDescent="0.25">
      <c r="A157" s="23">
        <v>46219</v>
      </c>
      <c r="B157" s="21" t="s">
        <v>161</v>
      </c>
      <c r="C157" s="21" t="s">
        <v>243</v>
      </c>
      <c r="D157" s="21">
        <v>1</v>
      </c>
      <c r="E157" s="21">
        <v>1</v>
      </c>
      <c r="F157" s="21" t="s">
        <v>310</v>
      </c>
      <c r="G157" s="21" t="s">
        <v>312</v>
      </c>
      <c r="H157" s="21"/>
      <c r="I157" s="21" t="s">
        <v>238</v>
      </c>
      <c r="J157" s="26">
        <v>1203.06</v>
      </c>
      <c r="K157" s="26">
        <v>1203.06</v>
      </c>
    </row>
    <row r="158" spans="1:11" x14ac:dyDescent="0.25">
      <c r="A158" s="23">
        <v>46219</v>
      </c>
      <c r="B158" s="21" t="s">
        <v>161</v>
      </c>
      <c r="C158" s="21" t="s">
        <v>243</v>
      </c>
      <c r="D158" s="21">
        <v>2</v>
      </c>
      <c r="E158" s="21">
        <v>1</v>
      </c>
      <c r="F158" s="21" t="s">
        <v>310</v>
      </c>
      <c r="G158" s="21" t="s">
        <v>313</v>
      </c>
      <c r="H158" s="21"/>
      <c r="I158" s="21" t="s">
        <v>238</v>
      </c>
      <c r="J158" s="26">
        <v>187.54</v>
      </c>
      <c r="K158" s="26">
        <v>187.54</v>
      </c>
    </row>
    <row r="159" spans="1:11" x14ac:dyDescent="0.25">
      <c r="A159" s="23">
        <v>46219</v>
      </c>
      <c r="B159" s="21" t="s">
        <v>161</v>
      </c>
      <c r="C159" s="21" t="s">
        <v>314</v>
      </c>
      <c r="D159" s="21">
        <v>1</v>
      </c>
      <c r="E159" s="21">
        <v>7</v>
      </c>
      <c r="F159" s="21" t="s">
        <v>45</v>
      </c>
      <c r="G159" s="21" t="s">
        <v>315</v>
      </c>
      <c r="H159" s="21"/>
      <c r="I159" s="21" t="s">
        <v>238</v>
      </c>
      <c r="J159" s="26">
        <v>90</v>
      </c>
      <c r="K159" s="26">
        <v>630</v>
      </c>
    </row>
    <row r="160" spans="1:11" x14ac:dyDescent="0.25">
      <c r="A160" s="23">
        <v>46219</v>
      </c>
      <c r="B160" s="21" t="s">
        <v>43</v>
      </c>
      <c r="C160" s="21" t="s">
        <v>205</v>
      </c>
      <c r="D160" s="21">
        <v>1</v>
      </c>
      <c r="E160" s="21">
        <v>20</v>
      </c>
      <c r="F160" s="21" t="s">
        <v>45</v>
      </c>
      <c r="G160" s="21" t="s">
        <v>316</v>
      </c>
      <c r="H160" s="21"/>
      <c r="I160" s="21" t="s">
        <v>280</v>
      </c>
      <c r="J160" s="26">
        <v>14.36</v>
      </c>
      <c r="K160" s="26">
        <v>287.2</v>
      </c>
    </row>
    <row r="161" spans="1:11" x14ac:dyDescent="0.25">
      <c r="A161" s="23">
        <v>46219</v>
      </c>
      <c r="B161" s="21" t="s">
        <v>43</v>
      </c>
      <c r="C161" s="21" t="s">
        <v>205</v>
      </c>
      <c r="D161" s="21">
        <v>2</v>
      </c>
      <c r="E161" s="21">
        <v>4</v>
      </c>
      <c r="F161" s="21" t="s">
        <v>45</v>
      </c>
      <c r="G161" s="21" t="s">
        <v>317</v>
      </c>
      <c r="H161" s="21"/>
      <c r="I161" s="21" t="s">
        <v>219</v>
      </c>
      <c r="J161" s="26">
        <v>114.86</v>
      </c>
      <c r="K161" s="26">
        <v>459.44</v>
      </c>
    </row>
    <row r="162" spans="1:11" x14ac:dyDescent="0.25">
      <c r="A162" s="23">
        <v>46219</v>
      </c>
      <c r="B162" s="21" t="s">
        <v>98</v>
      </c>
      <c r="C162" s="21" t="s">
        <v>318</v>
      </c>
      <c r="D162" s="21">
        <v>1</v>
      </c>
      <c r="E162" s="21">
        <v>50</v>
      </c>
      <c r="F162" s="21" t="s">
        <v>65</v>
      </c>
      <c r="G162" s="21" t="s">
        <v>319</v>
      </c>
      <c r="H162" s="21"/>
      <c r="I162" s="21" t="s">
        <v>321</v>
      </c>
      <c r="J162" s="26">
        <v>34.5</v>
      </c>
      <c r="K162" s="26">
        <v>1725</v>
      </c>
    </row>
    <row r="163" spans="1:11" x14ac:dyDescent="0.25">
      <c r="A163" s="23">
        <v>46219</v>
      </c>
      <c r="B163" s="21" t="s">
        <v>98</v>
      </c>
      <c r="C163" s="21" t="s">
        <v>318</v>
      </c>
      <c r="D163" s="21">
        <v>2</v>
      </c>
      <c r="E163" s="21">
        <v>30</v>
      </c>
      <c r="F163" s="21" t="s">
        <v>65</v>
      </c>
      <c r="G163" s="21" t="s">
        <v>320</v>
      </c>
      <c r="H163" s="21"/>
      <c r="I163" s="21" t="s">
        <v>285</v>
      </c>
      <c r="J163" s="26">
        <v>34.479999999999997</v>
      </c>
      <c r="K163" s="26">
        <v>1034.3999999999999</v>
      </c>
    </row>
    <row r="164" spans="1:11" x14ac:dyDescent="0.25">
      <c r="A164" s="23">
        <v>46219</v>
      </c>
      <c r="B164" s="21" t="s">
        <v>98</v>
      </c>
      <c r="C164" s="21" t="s">
        <v>318</v>
      </c>
      <c r="D164" s="21">
        <v>1</v>
      </c>
      <c r="E164" s="21">
        <v>50</v>
      </c>
      <c r="F164" s="21" t="s">
        <v>65</v>
      </c>
      <c r="G164" s="21" t="s">
        <v>319</v>
      </c>
      <c r="H164" s="21"/>
      <c r="I164" s="21" t="s">
        <v>321</v>
      </c>
      <c r="J164" s="26">
        <v>34.5</v>
      </c>
      <c r="K164" s="26">
        <v>1725</v>
      </c>
    </row>
    <row r="165" spans="1:11" x14ac:dyDescent="0.25">
      <c r="A165" s="23">
        <v>46219</v>
      </c>
      <c r="B165" s="21" t="s">
        <v>98</v>
      </c>
      <c r="C165" s="21" t="s">
        <v>318</v>
      </c>
      <c r="D165" s="21">
        <v>1</v>
      </c>
      <c r="E165" s="21">
        <v>30</v>
      </c>
      <c r="F165" s="21" t="s">
        <v>65</v>
      </c>
      <c r="G165" s="21" t="s">
        <v>322</v>
      </c>
      <c r="H165" s="21"/>
      <c r="I165" s="21" t="s">
        <v>321</v>
      </c>
      <c r="J165" s="26">
        <v>34.5</v>
      </c>
      <c r="K165" s="26">
        <v>1035</v>
      </c>
    </row>
    <row r="166" spans="1:11" x14ac:dyDescent="0.25">
      <c r="A166" s="23">
        <v>46218</v>
      </c>
      <c r="B166" s="21" t="s">
        <v>162</v>
      </c>
      <c r="C166" s="21" t="s">
        <v>323</v>
      </c>
      <c r="D166" s="21">
        <v>1</v>
      </c>
      <c r="E166" s="21">
        <v>1</v>
      </c>
      <c r="F166" s="21" t="s">
        <v>132</v>
      </c>
      <c r="G166" s="21" t="s">
        <v>324</v>
      </c>
      <c r="H166" s="21"/>
      <c r="I166" s="21" t="s">
        <v>112</v>
      </c>
      <c r="J166" s="26">
        <v>500</v>
      </c>
      <c r="K166" s="26">
        <v>500</v>
      </c>
    </row>
    <row r="167" spans="1:11" x14ac:dyDescent="0.25">
      <c r="A167" s="23">
        <v>46217</v>
      </c>
      <c r="B167" s="21" t="s">
        <v>162</v>
      </c>
      <c r="C167" s="21" t="s">
        <v>325</v>
      </c>
      <c r="D167" s="21">
        <v>1</v>
      </c>
      <c r="E167" s="21">
        <v>10</v>
      </c>
      <c r="F167" s="21" t="s">
        <v>45</v>
      </c>
      <c r="G167" s="21" t="s">
        <v>326</v>
      </c>
      <c r="H167" s="21"/>
      <c r="I167" s="21" t="s">
        <v>112</v>
      </c>
      <c r="J167" s="26">
        <v>27.58</v>
      </c>
      <c r="K167" s="26">
        <v>275.79999999999995</v>
      </c>
    </row>
    <row r="168" spans="1:11" x14ac:dyDescent="0.25">
      <c r="A168" s="23">
        <v>46217</v>
      </c>
      <c r="B168" s="21" t="s">
        <v>162</v>
      </c>
      <c r="C168" s="21" t="s">
        <v>325</v>
      </c>
      <c r="D168" s="21">
        <v>2</v>
      </c>
      <c r="E168" s="21">
        <v>1</v>
      </c>
      <c r="F168" s="21" t="s">
        <v>150</v>
      </c>
      <c r="G168" s="21" t="s">
        <v>327</v>
      </c>
      <c r="H168" s="21"/>
      <c r="I168" s="21" t="s">
        <v>112</v>
      </c>
      <c r="J168" s="26">
        <v>19.82</v>
      </c>
      <c r="K168" s="26">
        <v>19.82</v>
      </c>
    </row>
    <row r="169" spans="1:11" x14ac:dyDescent="0.25">
      <c r="A169" s="23">
        <v>46217</v>
      </c>
      <c r="B169" s="21" t="s">
        <v>162</v>
      </c>
      <c r="C169" s="21" t="s">
        <v>325</v>
      </c>
      <c r="D169" s="21">
        <v>3</v>
      </c>
      <c r="E169" s="21">
        <v>1</v>
      </c>
      <c r="F169" s="21" t="s">
        <v>150</v>
      </c>
      <c r="G169" s="21" t="s">
        <v>328</v>
      </c>
      <c r="H169" s="21"/>
      <c r="I169" s="21" t="s">
        <v>112</v>
      </c>
      <c r="J169" s="26">
        <v>41.37</v>
      </c>
      <c r="K169" s="26">
        <v>0</v>
      </c>
    </row>
    <row r="170" spans="1:11" x14ac:dyDescent="0.25">
      <c r="A170" s="23">
        <v>46217</v>
      </c>
      <c r="B170" s="21" t="s">
        <v>162</v>
      </c>
      <c r="C170" s="21" t="s">
        <v>325</v>
      </c>
      <c r="D170" s="21">
        <v>4</v>
      </c>
      <c r="E170" s="21">
        <v>2</v>
      </c>
      <c r="F170" s="21" t="s">
        <v>45</v>
      </c>
      <c r="G170" s="21" t="s">
        <v>329</v>
      </c>
      <c r="H170" s="21"/>
      <c r="I170" s="21" t="s">
        <v>112</v>
      </c>
      <c r="J170" s="26">
        <v>101.72</v>
      </c>
      <c r="K170" s="26">
        <v>203.44</v>
      </c>
    </row>
    <row r="171" spans="1:11" x14ac:dyDescent="0.25">
      <c r="A171" s="23">
        <v>46219</v>
      </c>
      <c r="B171" s="21" t="s">
        <v>306</v>
      </c>
      <c r="C171" s="21" t="s">
        <v>330</v>
      </c>
      <c r="D171" s="21">
        <v>1</v>
      </c>
      <c r="E171" s="21">
        <v>4</v>
      </c>
      <c r="F171" s="21" t="s">
        <v>45</v>
      </c>
      <c r="G171" s="21" t="s">
        <v>331</v>
      </c>
      <c r="H171" s="21"/>
      <c r="I171" s="21" t="s">
        <v>252</v>
      </c>
      <c r="J171" s="26">
        <v>377.06</v>
      </c>
      <c r="K171" s="26">
        <v>1508.24</v>
      </c>
    </row>
    <row r="172" spans="1:11" x14ac:dyDescent="0.25">
      <c r="A172" s="23">
        <v>46219</v>
      </c>
      <c r="B172" s="21" t="s">
        <v>306</v>
      </c>
      <c r="C172" s="21" t="s">
        <v>330</v>
      </c>
      <c r="D172" s="21">
        <v>2</v>
      </c>
      <c r="E172" s="21">
        <v>6</v>
      </c>
      <c r="F172" s="21" t="s">
        <v>150</v>
      </c>
      <c r="G172" s="21" t="s">
        <v>332</v>
      </c>
      <c r="H172" s="21"/>
      <c r="I172" s="21" t="s">
        <v>252</v>
      </c>
      <c r="J172" s="26">
        <v>25</v>
      </c>
      <c r="K172" s="26">
        <v>150</v>
      </c>
    </row>
    <row r="173" spans="1:11" x14ac:dyDescent="0.25">
      <c r="A173" s="23">
        <v>46206</v>
      </c>
      <c r="B173" s="21" t="s">
        <v>43</v>
      </c>
      <c r="C173" s="21" t="s">
        <v>193</v>
      </c>
      <c r="D173" s="21">
        <v>1</v>
      </c>
      <c r="E173" s="21">
        <v>1</v>
      </c>
      <c r="F173" s="21" t="s">
        <v>230</v>
      </c>
      <c r="G173" s="21" t="s">
        <v>338</v>
      </c>
      <c r="H173" s="21"/>
      <c r="I173" s="21" t="s">
        <v>341</v>
      </c>
      <c r="J173" s="26">
        <v>509.52</v>
      </c>
      <c r="K173" s="26">
        <v>509.52</v>
      </c>
    </row>
    <row r="174" spans="1:11" x14ac:dyDescent="0.25">
      <c r="A174" s="23">
        <v>46206</v>
      </c>
      <c r="B174" s="21" t="s">
        <v>43</v>
      </c>
      <c r="C174" s="21" t="s">
        <v>193</v>
      </c>
      <c r="D174" s="21">
        <v>2</v>
      </c>
      <c r="E174" s="21">
        <v>1</v>
      </c>
      <c r="F174" s="21" t="s">
        <v>230</v>
      </c>
      <c r="G174" s="21" t="s">
        <v>339</v>
      </c>
      <c r="H174" s="21"/>
      <c r="I174" s="21" t="s">
        <v>341</v>
      </c>
      <c r="J174" s="26">
        <v>374.94</v>
      </c>
      <c r="K174" s="26">
        <v>374.94</v>
      </c>
    </row>
    <row r="175" spans="1:11" x14ac:dyDescent="0.25">
      <c r="A175" s="23">
        <v>46206</v>
      </c>
      <c r="B175" s="21" t="s">
        <v>43</v>
      </c>
      <c r="C175" s="21" t="s">
        <v>193</v>
      </c>
      <c r="D175" s="21">
        <v>3</v>
      </c>
      <c r="E175" s="21">
        <v>2</v>
      </c>
      <c r="F175" s="21" t="s">
        <v>337</v>
      </c>
      <c r="G175" s="21" t="s">
        <v>340</v>
      </c>
      <c r="H175" s="21"/>
      <c r="I175" s="21"/>
      <c r="J175" s="26">
        <v>1573.2</v>
      </c>
      <c r="K175" s="26">
        <v>3146.4</v>
      </c>
    </row>
    <row r="176" spans="1:11" x14ac:dyDescent="0.25">
      <c r="A176" s="23">
        <v>46208</v>
      </c>
      <c r="B176" s="21" t="s">
        <v>31</v>
      </c>
      <c r="C176" s="21" t="s">
        <v>303</v>
      </c>
      <c r="D176" s="21">
        <v>1</v>
      </c>
      <c r="E176" s="21">
        <v>4</v>
      </c>
      <c r="F176" s="21" t="s">
        <v>45</v>
      </c>
      <c r="G176" s="21" t="s">
        <v>342</v>
      </c>
      <c r="H176" s="21"/>
      <c r="I176" s="21" t="s">
        <v>252</v>
      </c>
      <c r="J176" s="26">
        <v>798</v>
      </c>
      <c r="K176" s="26">
        <v>3192</v>
      </c>
    </row>
    <row r="177" spans="1:12" x14ac:dyDescent="0.25">
      <c r="A177" s="23">
        <v>46208</v>
      </c>
      <c r="B177" s="21" t="s">
        <v>31</v>
      </c>
      <c r="C177" s="21" t="s">
        <v>303</v>
      </c>
      <c r="D177" s="21">
        <v>2</v>
      </c>
      <c r="E177" s="21">
        <v>10</v>
      </c>
      <c r="F177" s="21" t="s">
        <v>45</v>
      </c>
      <c r="G177" s="21" t="s">
        <v>343</v>
      </c>
      <c r="H177" s="21"/>
      <c r="I177" s="21" t="s">
        <v>252</v>
      </c>
      <c r="J177" s="26">
        <v>661.2</v>
      </c>
      <c r="K177" s="26">
        <v>6612</v>
      </c>
    </row>
    <row r="178" spans="1:12" x14ac:dyDescent="0.25">
      <c r="A178" s="23">
        <v>46208</v>
      </c>
      <c r="B178" s="21" t="s">
        <v>31</v>
      </c>
      <c r="C178" s="21" t="s">
        <v>303</v>
      </c>
      <c r="D178" s="21">
        <v>1</v>
      </c>
      <c r="E178" s="21">
        <v>11</v>
      </c>
      <c r="F178" s="21" t="s">
        <v>45</v>
      </c>
      <c r="G178" s="21" t="s">
        <v>344</v>
      </c>
      <c r="H178" s="21"/>
      <c r="I178" s="21" t="s">
        <v>252</v>
      </c>
      <c r="J178" s="26">
        <v>5480</v>
      </c>
      <c r="K178" s="26">
        <v>60280</v>
      </c>
    </row>
    <row r="179" spans="1:12" x14ac:dyDescent="0.25">
      <c r="A179" s="23">
        <v>46208</v>
      </c>
      <c r="B179" s="21" t="s">
        <v>31</v>
      </c>
      <c r="C179" s="21" t="s">
        <v>303</v>
      </c>
      <c r="D179" s="21">
        <v>2</v>
      </c>
      <c r="E179" s="21">
        <v>30</v>
      </c>
      <c r="F179" s="21" t="s">
        <v>45</v>
      </c>
      <c r="G179" s="21" t="s">
        <v>345</v>
      </c>
      <c r="H179" s="21"/>
      <c r="I179" s="21" t="s">
        <v>252</v>
      </c>
      <c r="J179" s="26">
        <v>336</v>
      </c>
      <c r="K179" s="26">
        <v>10080</v>
      </c>
    </row>
    <row r="180" spans="1:12" x14ac:dyDescent="0.25">
      <c r="A180" s="23">
        <v>46208</v>
      </c>
      <c r="B180" s="21" t="s">
        <v>31</v>
      </c>
      <c r="C180" s="21" t="s">
        <v>303</v>
      </c>
      <c r="D180" s="21">
        <v>3</v>
      </c>
      <c r="E180" s="21">
        <v>120</v>
      </c>
      <c r="F180" s="21" t="s">
        <v>45</v>
      </c>
      <c r="G180" s="21" t="s">
        <v>346</v>
      </c>
      <c r="H180" s="21"/>
      <c r="I180" s="21" t="s">
        <v>252</v>
      </c>
      <c r="J180" s="26">
        <v>12.931034</v>
      </c>
      <c r="K180" s="26">
        <v>1551.72408</v>
      </c>
      <c r="L180" s="23"/>
    </row>
    <row r="181" spans="1:12" x14ac:dyDescent="0.25">
      <c r="A181" s="23">
        <v>46234</v>
      </c>
      <c r="B181" s="21" t="s">
        <v>31</v>
      </c>
      <c r="C181" s="21" t="s">
        <v>303</v>
      </c>
      <c r="D181" s="21">
        <v>1</v>
      </c>
      <c r="E181" s="21">
        <v>8</v>
      </c>
      <c r="F181" s="21" t="s">
        <v>45</v>
      </c>
      <c r="G181" s="21" t="s">
        <v>347</v>
      </c>
      <c r="H181" s="21" t="s">
        <v>349</v>
      </c>
      <c r="I181" s="21" t="s">
        <v>252</v>
      </c>
      <c r="J181" s="26">
        <v>433.25</v>
      </c>
      <c r="K181" s="26">
        <v>3466</v>
      </c>
    </row>
    <row r="182" spans="1:12" x14ac:dyDescent="0.25">
      <c r="A182" s="23">
        <v>46234</v>
      </c>
      <c r="B182" s="21" t="s">
        <v>31</v>
      </c>
      <c r="C182" s="21" t="s">
        <v>303</v>
      </c>
      <c r="D182" s="21">
        <v>2</v>
      </c>
      <c r="E182" s="21">
        <v>6</v>
      </c>
      <c r="F182" s="21" t="s">
        <v>45</v>
      </c>
      <c r="G182" s="21" t="s">
        <v>348</v>
      </c>
      <c r="H182" s="21" t="s">
        <v>350</v>
      </c>
      <c r="I182" s="21" t="s">
        <v>252</v>
      </c>
      <c r="J182" s="26">
        <v>15</v>
      </c>
      <c r="K182" s="26">
        <v>90</v>
      </c>
    </row>
    <row r="183" spans="1:12" x14ac:dyDescent="0.25">
      <c r="A183" s="23">
        <v>46233</v>
      </c>
      <c r="B183" s="21" t="s">
        <v>31</v>
      </c>
      <c r="C183" s="21" t="s">
        <v>232</v>
      </c>
      <c r="D183" s="21">
        <v>1</v>
      </c>
      <c r="E183" s="21">
        <v>1</v>
      </c>
      <c r="F183" s="21" t="s">
        <v>351</v>
      </c>
      <c r="G183" s="21" t="s">
        <v>178</v>
      </c>
      <c r="H183" s="21"/>
      <c r="I183" s="21" t="s">
        <v>146</v>
      </c>
      <c r="J183" s="26">
        <v>775.73</v>
      </c>
      <c r="K183" s="26">
        <v>775.73</v>
      </c>
    </row>
    <row r="184" spans="1:12" x14ac:dyDescent="0.25">
      <c r="A184" s="23">
        <v>46233</v>
      </c>
      <c r="B184" s="21" t="s">
        <v>31</v>
      </c>
      <c r="C184" s="21" t="s">
        <v>352</v>
      </c>
      <c r="D184" s="21">
        <v>1</v>
      </c>
      <c r="E184" s="21">
        <v>1</v>
      </c>
      <c r="F184" s="21" t="s">
        <v>353</v>
      </c>
      <c r="G184" s="21" t="s">
        <v>178</v>
      </c>
      <c r="H184" s="21"/>
      <c r="I184" s="21" t="s">
        <v>146</v>
      </c>
      <c r="J184" s="26">
        <v>3341.38</v>
      </c>
      <c r="K184" s="26">
        <v>3341.38</v>
      </c>
    </row>
    <row r="185" spans="1:12" x14ac:dyDescent="0.25">
      <c r="A185" s="23">
        <v>46205</v>
      </c>
      <c r="B185" s="21" t="s">
        <v>43</v>
      </c>
      <c r="C185" s="21" t="s">
        <v>166</v>
      </c>
      <c r="D185" s="21">
        <v>1</v>
      </c>
      <c r="E185" s="21">
        <v>5</v>
      </c>
      <c r="F185" s="21" t="s">
        <v>65</v>
      </c>
      <c r="G185" s="21" t="s">
        <v>354</v>
      </c>
      <c r="H185" s="21"/>
      <c r="I185" s="21" t="s">
        <v>280</v>
      </c>
      <c r="J185" s="26">
        <v>215</v>
      </c>
      <c r="K185" s="26">
        <v>1075</v>
      </c>
    </row>
    <row r="186" spans="1:12" x14ac:dyDescent="0.25">
      <c r="A186" s="23">
        <v>46205</v>
      </c>
      <c r="B186" s="21" t="s">
        <v>43</v>
      </c>
      <c r="C186" s="21" t="s">
        <v>166</v>
      </c>
      <c r="D186" s="21">
        <v>2</v>
      </c>
      <c r="E186" s="21">
        <v>5</v>
      </c>
      <c r="F186" s="21" t="s">
        <v>65</v>
      </c>
      <c r="G186" s="21" t="s">
        <v>355</v>
      </c>
      <c r="H186" s="21"/>
      <c r="I186" s="21" t="s">
        <v>280</v>
      </c>
      <c r="J186" s="26">
        <v>215</v>
      </c>
      <c r="K186" s="26">
        <v>1075</v>
      </c>
    </row>
    <row r="187" spans="1:12" x14ac:dyDescent="0.25">
      <c r="A187" s="23">
        <v>46205</v>
      </c>
      <c r="B187" s="21" t="s">
        <v>43</v>
      </c>
      <c r="C187" s="21" t="s">
        <v>166</v>
      </c>
      <c r="D187" s="21">
        <v>3</v>
      </c>
      <c r="E187" s="21">
        <v>10</v>
      </c>
      <c r="F187" s="21" t="s">
        <v>45</v>
      </c>
      <c r="G187" s="21" t="s">
        <v>356</v>
      </c>
      <c r="H187" s="21"/>
      <c r="I187" s="21" t="s">
        <v>280</v>
      </c>
      <c r="J187" s="26">
        <v>2</v>
      </c>
      <c r="K187" s="26">
        <v>20</v>
      </c>
    </row>
    <row r="188" spans="1:12" x14ac:dyDescent="0.25">
      <c r="A188" s="23">
        <v>46205</v>
      </c>
      <c r="B188" s="21" t="s">
        <v>43</v>
      </c>
      <c r="C188" s="21" t="s">
        <v>166</v>
      </c>
      <c r="D188" s="21">
        <v>4</v>
      </c>
      <c r="E188" s="21">
        <v>10</v>
      </c>
      <c r="F188" s="21" t="s">
        <v>45</v>
      </c>
      <c r="G188" s="21" t="s">
        <v>357</v>
      </c>
      <c r="H188" s="21"/>
      <c r="I188" s="21" t="s">
        <v>280</v>
      </c>
      <c r="J188" s="26">
        <v>6</v>
      </c>
      <c r="K188" s="26">
        <v>60</v>
      </c>
    </row>
    <row r="189" spans="1:12" x14ac:dyDescent="0.25">
      <c r="A189" s="23">
        <v>46205</v>
      </c>
      <c r="B189" s="21" t="s">
        <v>43</v>
      </c>
      <c r="C189" s="21" t="s">
        <v>166</v>
      </c>
      <c r="D189" s="21">
        <v>5</v>
      </c>
      <c r="E189" s="21">
        <v>5</v>
      </c>
      <c r="F189" s="21" t="s">
        <v>45</v>
      </c>
      <c r="G189" s="21" t="s">
        <v>358</v>
      </c>
      <c r="H189" s="21"/>
      <c r="I189" s="21" t="s">
        <v>280</v>
      </c>
      <c r="J189" s="26">
        <v>3</v>
      </c>
      <c r="K189" s="26">
        <v>15</v>
      </c>
    </row>
    <row r="190" spans="1:12" x14ac:dyDescent="0.25">
      <c r="A190" s="23">
        <v>46205</v>
      </c>
      <c r="B190" s="21" t="s">
        <v>43</v>
      </c>
      <c r="C190" s="21" t="s">
        <v>119</v>
      </c>
      <c r="D190" s="21">
        <v>1</v>
      </c>
      <c r="E190" s="21">
        <v>4</v>
      </c>
      <c r="F190" s="21" t="s">
        <v>45</v>
      </c>
      <c r="G190" s="21" t="s">
        <v>359</v>
      </c>
      <c r="H190" s="21"/>
      <c r="I190" s="21" t="s">
        <v>280</v>
      </c>
      <c r="J190" s="26">
        <v>500.3</v>
      </c>
      <c r="K190" s="26">
        <v>2001.2</v>
      </c>
    </row>
    <row r="191" spans="1:12" x14ac:dyDescent="0.25">
      <c r="A191" s="23">
        <v>46205</v>
      </c>
      <c r="B191" s="21" t="s">
        <v>43</v>
      </c>
      <c r="C191" s="21" t="s">
        <v>119</v>
      </c>
      <c r="D191" s="21">
        <v>1</v>
      </c>
      <c r="E191" s="21">
        <v>5</v>
      </c>
      <c r="F191" s="21" t="s">
        <v>45</v>
      </c>
      <c r="G191" s="21" t="s">
        <v>239</v>
      </c>
      <c r="H191" s="21"/>
      <c r="I191" s="21" t="s">
        <v>280</v>
      </c>
      <c r="J191" s="26">
        <v>372.7</v>
      </c>
      <c r="K191" s="26">
        <v>1863.5</v>
      </c>
    </row>
    <row r="192" spans="1:12" x14ac:dyDescent="0.25">
      <c r="A192" s="23">
        <v>46224</v>
      </c>
      <c r="B192" s="21" t="s">
        <v>43</v>
      </c>
      <c r="C192" s="21" t="s">
        <v>75</v>
      </c>
      <c r="D192" s="21">
        <v>1</v>
      </c>
      <c r="E192" s="21">
        <v>10</v>
      </c>
      <c r="F192" s="21" t="s">
        <v>45</v>
      </c>
      <c r="G192" s="21" t="s">
        <v>360</v>
      </c>
      <c r="H192" s="21"/>
      <c r="I192" s="21" t="s">
        <v>280</v>
      </c>
      <c r="J192" s="26">
        <v>2</v>
      </c>
      <c r="K192" s="26">
        <v>20</v>
      </c>
    </row>
    <row r="193" spans="1:11" x14ac:dyDescent="0.25">
      <c r="A193" s="23">
        <v>46224</v>
      </c>
      <c r="B193" s="21" t="s">
        <v>43</v>
      </c>
      <c r="C193" s="21" t="s">
        <v>75</v>
      </c>
      <c r="D193" s="21">
        <v>2</v>
      </c>
      <c r="E193" s="21">
        <v>5</v>
      </c>
      <c r="F193" s="21" t="s">
        <v>45</v>
      </c>
      <c r="G193" s="21" t="s">
        <v>361</v>
      </c>
      <c r="H193" s="21"/>
      <c r="I193" s="21" t="s">
        <v>280</v>
      </c>
      <c r="J193" s="26">
        <v>55</v>
      </c>
      <c r="K193" s="26">
        <v>275</v>
      </c>
    </row>
    <row r="194" spans="1:11" x14ac:dyDescent="0.25">
      <c r="A194" s="23">
        <v>46205</v>
      </c>
      <c r="B194" s="21" t="s">
        <v>43</v>
      </c>
      <c r="C194" s="21" t="s">
        <v>166</v>
      </c>
      <c r="D194" s="21">
        <v>1</v>
      </c>
      <c r="E194" s="21">
        <v>2</v>
      </c>
      <c r="F194" s="21" t="s">
        <v>65</v>
      </c>
      <c r="G194" s="21" t="s">
        <v>362</v>
      </c>
      <c r="H194" s="21"/>
      <c r="I194" s="21" t="s">
        <v>341</v>
      </c>
      <c r="J194" s="26">
        <v>570.70000000000005</v>
      </c>
      <c r="K194" s="26">
        <v>1141.4000000000001</v>
      </c>
    </row>
    <row r="195" spans="1:11" x14ac:dyDescent="0.25">
      <c r="A195" s="23">
        <v>46205</v>
      </c>
      <c r="B195" s="21" t="s">
        <v>43</v>
      </c>
      <c r="C195" s="21" t="s">
        <v>166</v>
      </c>
      <c r="D195" s="21">
        <v>2</v>
      </c>
      <c r="E195" s="21">
        <v>12</v>
      </c>
      <c r="F195" s="21" t="s">
        <v>65</v>
      </c>
      <c r="G195" s="21" t="s">
        <v>363</v>
      </c>
      <c r="H195" s="21"/>
      <c r="I195" s="21" t="s">
        <v>341</v>
      </c>
      <c r="J195" s="26">
        <v>11.97</v>
      </c>
      <c r="K195" s="26">
        <v>143.64000000000001</v>
      </c>
    </row>
    <row r="196" spans="1:11" x14ac:dyDescent="0.25">
      <c r="A196" s="23">
        <v>46205</v>
      </c>
      <c r="B196" s="21" t="s">
        <v>43</v>
      </c>
      <c r="C196" s="21" t="s">
        <v>166</v>
      </c>
      <c r="D196" s="21">
        <v>3</v>
      </c>
      <c r="E196" s="21">
        <v>1</v>
      </c>
      <c r="F196" s="21" t="s">
        <v>65</v>
      </c>
      <c r="G196" s="21" t="s">
        <v>364</v>
      </c>
      <c r="H196" s="21"/>
      <c r="I196" s="21" t="s">
        <v>341</v>
      </c>
      <c r="J196" s="26">
        <v>623</v>
      </c>
      <c r="K196" s="26">
        <v>623</v>
      </c>
    </row>
    <row r="197" spans="1:11" x14ac:dyDescent="0.25">
      <c r="A197" s="23">
        <v>46205</v>
      </c>
      <c r="B197" s="21" t="s">
        <v>43</v>
      </c>
      <c r="C197" s="21" t="s">
        <v>166</v>
      </c>
      <c r="D197" s="21">
        <v>4</v>
      </c>
      <c r="E197" s="21">
        <v>1</v>
      </c>
      <c r="F197" s="21" t="s">
        <v>65</v>
      </c>
      <c r="G197" s="21" t="s">
        <v>365</v>
      </c>
      <c r="H197" s="21"/>
      <c r="I197" s="21" t="s">
        <v>341</v>
      </c>
      <c r="J197" s="26">
        <v>67.67</v>
      </c>
      <c r="K197" s="26">
        <v>67.67</v>
      </c>
    </row>
    <row r="198" spans="1:11" x14ac:dyDescent="0.25">
      <c r="A198" s="23">
        <v>46205</v>
      </c>
      <c r="B198" s="21" t="s">
        <v>43</v>
      </c>
      <c r="C198" s="21" t="s">
        <v>166</v>
      </c>
      <c r="D198" s="21">
        <v>5</v>
      </c>
      <c r="E198" s="21">
        <v>1</v>
      </c>
      <c r="F198" s="21" t="s">
        <v>65</v>
      </c>
      <c r="G198" s="21" t="s">
        <v>366</v>
      </c>
      <c r="H198" s="21"/>
      <c r="I198" s="21" t="s">
        <v>341</v>
      </c>
      <c r="J198" s="26">
        <v>129.71</v>
      </c>
      <c r="K198" s="26">
        <v>129.71</v>
      </c>
    </row>
    <row r="199" spans="1:11" x14ac:dyDescent="0.25">
      <c r="A199" s="23">
        <v>46247</v>
      </c>
      <c r="B199" s="21" t="s">
        <v>43</v>
      </c>
      <c r="C199" s="21" t="s">
        <v>166</v>
      </c>
      <c r="D199" s="21">
        <v>1</v>
      </c>
      <c r="E199" s="21">
        <v>8</v>
      </c>
      <c r="F199" s="21" t="s">
        <v>45</v>
      </c>
      <c r="G199" s="21" t="s">
        <v>367</v>
      </c>
      <c r="H199" s="21" t="s">
        <v>368</v>
      </c>
      <c r="I199" s="21" t="s">
        <v>198</v>
      </c>
      <c r="J199" s="26">
        <v>123.42</v>
      </c>
      <c r="K199" s="26">
        <v>987.36</v>
      </c>
    </row>
    <row r="200" spans="1:11" x14ac:dyDescent="0.25">
      <c r="A200" s="23">
        <v>46247</v>
      </c>
      <c r="B200" s="21" t="s">
        <v>43</v>
      </c>
      <c r="C200" s="21" t="s">
        <v>119</v>
      </c>
      <c r="D200" s="21">
        <v>1</v>
      </c>
      <c r="E200" s="21">
        <v>20</v>
      </c>
      <c r="F200" s="21" t="s">
        <v>45</v>
      </c>
      <c r="G200" s="21" t="s">
        <v>369</v>
      </c>
      <c r="H200" s="21"/>
      <c r="I200" s="21" t="s">
        <v>370</v>
      </c>
      <c r="J200" s="26">
        <v>22.41</v>
      </c>
      <c r="K200" s="26">
        <v>448.2</v>
      </c>
    </row>
    <row r="201" spans="1:11" x14ac:dyDescent="0.25">
      <c r="A201" s="23">
        <v>46247</v>
      </c>
      <c r="B201" s="21" t="s">
        <v>43</v>
      </c>
      <c r="C201" s="21" t="s">
        <v>119</v>
      </c>
      <c r="D201" s="21">
        <v>2</v>
      </c>
      <c r="E201" s="21">
        <v>1</v>
      </c>
      <c r="F201" s="21" t="s">
        <v>45</v>
      </c>
      <c r="G201" s="21" t="s">
        <v>371</v>
      </c>
      <c r="H201" s="21"/>
      <c r="I201" s="21" t="s">
        <v>370</v>
      </c>
      <c r="J201" s="26">
        <v>3502</v>
      </c>
      <c r="K201" s="26">
        <v>3502</v>
      </c>
    </row>
    <row r="202" spans="1:11" x14ac:dyDescent="0.25">
      <c r="A202" s="23">
        <v>46247</v>
      </c>
      <c r="B202" s="21" t="s">
        <v>43</v>
      </c>
      <c r="C202" s="21" t="s">
        <v>240</v>
      </c>
      <c r="D202" s="21">
        <v>1</v>
      </c>
      <c r="E202" s="21">
        <v>32</v>
      </c>
      <c r="F202" s="21" t="s">
        <v>45</v>
      </c>
      <c r="G202" s="21" t="s">
        <v>372</v>
      </c>
      <c r="H202" s="21"/>
      <c r="I202" s="21" t="s">
        <v>198</v>
      </c>
      <c r="J202" s="26">
        <v>1765.4</v>
      </c>
      <c r="K202" s="26">
        <v>56492.800000000003</v>
      </c>
    </row>
    <row r="203" spans="1:11" x14ac:dyDescent="0.25">
      <c r="A203" s="23">
        <v>46238</v>
      </c>
      <c r="B203" s="21" t="s">
        <v>373</v>
      </c>
      <c r="C203" s="21" t="s">
        <v>374</v>
      </c>
      <c r="D203" s="21"/>
      <c r="E203" s="21">
        <v>4</v>
      </c>
      <c r="F203" s="21" t="s">
        <v>132</v>
      </c>
      <c r="G203" s="21" t="s">
        <v>375</v>
      </c>
      <c r="H203" s="21"/>
      <c r="I203" s="21"/>
      <c r="J203" s="26">
        <v>650</v>
      </c>
      <c r="K203" s="26">
        <f>J203*E203</f>
        <v>2600</v>
      </c>
    </row>
    <row r="204" spans="1:11" x14ac:dyDescent="0.25">
      <c r="A204" s="23">
        <v>46238</v>
      </c>
      <c r="B204" s="21" t="s">
        <v>373</v>
      </c>
      <c r="C204" s="21" t="s">
        <v>374</v>
      </c>
      <c r="D204" s="21"/>
      <c r="E204" s="21">
        <v>4</v>
      </c>
      <c r="F204" s="21" t="s">
        <v>132</v>
      </c>
      <c r="G204" s="21" t="s">
        <v>376</v>
      </c>
      <c r="H204" s="21"/>
      <c r="I204" s="21"/>
      <c r="J204" s="26">
        <v>350</v>
      </c>
      <c r="K204" s="26">
        <f>J204*E204</f>
        <v>1400</v>
      </c>
    </row>
    <row r="205" spans="1:11" x14ac:dyDescent="0.25">
      <c r="A205" s="23">
        <v>46244</v>
      </c>
      <c r="B205" s="21" t="s">
        <v>373</v>
      </c>
      <c r="C205" s="21" t="s">
        <v>374</v>
      </c>
      <c r="D205" s="21"/>
      <c r="E205" s="21">
        <v>4</v>
      </c>
      <c r="F205" s="21" t="s">
        <v>132</v>
      </c>
      <c r="G205" s="21" t="s">
        <v>375</v>
      </c>
      <c r="H205" s="21"/>
      <c r="I205" s="21"/>
      <c r="J205" s="26">
        <v>650</v>
      </c>
      <c r="K205" s="26">
        <f>J205*E205</f>
        <v>2600</v>
      </c>
    </row>
    <row r="206" spans="1:11" x14ac:dyDescent="0.25">
      <c r="A206" s="23">
        <v>46244</v>
      </c>
      <c r="B206" s="21" t="s">
        <v>373</v>
      </c>
      <c r="C206" s="21" t="s">
        <v>374</v>
      </c>
      <c r="D206" s="21"/>
      <c r="E206" s="21">
        <v>1</v>
      </c>
      <c r="F206" s="21" t="s">
        <v>150</v>
      </c>
      <c r="G206" s="21" t="s">
        <v>377</v>
      </c>
      <c r="H206" s="21"/>
      <c r="I206" s="21"/>
      <c r="J206" s="26">
        <v>639.66</v>
      </c>
      <c r="K206" s="26">
        <v>639.66</v>
      </c>
    </row>
    <row r="207" spans="1:11" x14ac:dyDescent="0.25">
      <c r="A207" s="23">
        <v>46245</v>
      </c>
      <c r="B207" s="21" t="s">
        <v>373</v>
      </c>
      <c r="C207" s="21" t="s">
        <v>374</v>
      </c>
      <c r="D207" s="21"/>
      <c r="E207" s="21">
        <v>2</v>
      </c>
      <c r="F207" s="21" t="s">
        <v>150</v>
      </c>
      <c r="G207" s="21" t="s">
        <v>375</v>
      </c>
      <c r="H207" s="21"/>
      <c r="I207" s="21"/>
      <c r="J207" s="26">
        <v>650</v>
      </c>
      <c r="K207" s="26">
        <v>1300</v>
      </c>
    </row>
    <row r="208" spans="1:11" x14ac:dyDescent="0.25">
      <c r="A208" s="23">
        <v>46245</v>
      </c>
      <c r="B208" s="21" t="s">
        <v>373</v>
      </c>
      <c r="C208" s="21" t="s">
        <v>374</v>
      </c>
      <c r="D208" s="21"/>
      <c r="E208" s="21">
        <v>2</v>
      </c>
      <c r="F208" s="21" t="s">
        <v>150</v>
      </c>
      <c r="G208" s="21" t="s">
        <v>375</v>
      </c>
      <c r="H208" s="21"/>
      <c r="I208" s="21"/>
      <c r="J208" s="26">
        <v>650</v>
      </c>
      <c r="K208" s="26">
        <v>1300</v>
      </c>
    </row>
    <row r="209" spans="1:11" x14ac:dyDescent="0.25">
      <c r="A209" s="23">
        <v>46247</v>
      </c>
      <c r="B209" s="21" t="s">
        <v>373</v>
      </c>
      <c r="C209" s="21" t="s">
        <v>374</v>
      </c>
      <c r="D209" s="21"/>
      <c r="E209" s="21">
        <v>1</v>
      </c>
      <c r="F209" s="21" t="s">
        <v>150</v>
      </c>
      <c r="G209" s="21" t="s">
        <v>375</v>
      </c>
      <c r="H209" s="21"/>
      <c r="I209" s="21"/>
      <c r="J209" s="26">
        <v>650</v>
      </c>
      <c r="K209" s="26">
        <v>650</v>
      </c>
    </row>
    <row r="210" spans="1:11" x14ac:dyDescent="0.25">
      <c r="A210" s="23">
        <v>46214</v>
      </c>
      <c r="B210" s="21" t="s">
        <v>76</v>
      </c>
      <c r="C210" s="21" t="s">
        <v>58</v>
      </c>
      <c r="D210" s="21">
        <v>1</v>
      </c>
      <c r="E210" s="21">
        <v>1</v>
      </c>
      <c r="F210" s="21" t="s">
        <v>351</v>
      </c>
      <c r="G210" s="21" t="s">
        <v>378</v>
      </c>
      <c r="H210" s="21"/>
      <c r="I210" s="21" t="s">
        <v>379</v>
      </c>
      <c r="J210" s="26">
        <v>4228.45</v>
      </c>
      <c r="K210" s="26">
        <v>4228.45</v>
      </c>
    </row>
    <row r="211" spans="1:11" x14ac:dyDescent="0.25">
      <c r="A211" s="23">
        <v>46217</v>
      </c>
      <c r="B211" s="21" t="s">
        <v>76</v>
      </c>
      <c r="C211" s="21" t="s">
        <v>286</v>
      </c>
      <c r="D211" s="21">
        <v>1</v>
      </c>
      <c r="E211" s="21">
        <v>2</v>
      </c>
      <c r="F211" s="21" t="s">
        <v>45</v>
      </c>
      <c r="G211" s="21" t="s">
        <v>380</v>
      </c>
      <c r="H211" s="21"/>
      <c r="I211" s="21" t="s">
        <v>381</v>
      </c>
      <c r="J211" s="26">
        <v>229.82</v>
      </c>
      <c r="K211" s="26">
        <v>459.64</v>
      </c>
    </row>
    <row r="212" spans="1:11" x14ac:dyDescent="0.25">
      <c r="A212" s="23">
        <v>46234</v>
      </c>
      <c r="B212" s="21" t="s">
        <v>76</v>
      </c>
      <c r="C212" s="21" t="s">
        <v>286</v>
      </c>
      <c r="D212" s="21">
        <v>1</v>
      </c>
      <c r="E212" s="21">
        <v>2</v>
      </c>
      <c r="F212" s="21" t="s">
        <v>45</v>
      </c>
      <c r="G212" s="21" t="s">
        <v>380</v>
      </c>
      <c r="H212" s="21"/>
      <c r="I212" s="21" t="s">
        <v>382</v>
      </c>
      <c r="J212" s="26">
        <v>229.82</v>
      </c>
      <c r="K212" s="26">
        <v>459.64</v>
      </c>
    </row>
    <row r="213" spans="1:11" x14ac:dyDescent="0.25">
      <c r="A213" s="23">
        <v>46214</v>
      </c>
      <c r="B213" s="21" t="s">
        <v>76</v>
      </c>
      <c r="C213" s="21" t="s">
        <v>286</v>
      </c>
      <c r="D213" s="21">
        <v>1</v>
      </c>
      <c r="E213" s="21">
        <v>1</v>
      </c>
      <c r="F213" s="21" t="s">
        <v>45</v>
      </c>
      <c r="G213" s="21" t="s">
        <v>383</v>
      </c>
      <c r="H213" s="21"/>
      <c r="I213" s="21" t="s">
        <v>385</v>
      </c>
      <c r="J213" s="26">
        <v>814.16</v>
      </c>
      <c r="K213" s="26">
        <v>814.16</v>
      </c>
    </row>
    <row r="214" spans="1:11" x14ac:dyDescent="0.25">
      <c r="A214" s="23">
        <v>46214</v>
      </c>
      <c r="B214" s="21" t="s">
        <v>76</v>
      </c>
      <c r="C214" s="21" t="s">
        <v>286</v>
      </c>
      <c r="D214" s="21">
        <v>2</v>
      </c>
      <c r="E214" s="21">
        <v>1</v>
      </c>
      <c r="F214" s="21" t="s">
        <v>45</v>
      </c>
      <c r="G214" s="21" t="s">
        <v>384</v>
      </c>
      <c r="H214" s="21"/>
      <c r="I214" s="21" t="s">
        <v>386</v>
      </c>
      <c r="J214" s="26">
        <v>285</v>
      </c>
      <c r="K214" s="26">
        <v>285</v>
      </c>
    </row>
    <row r="215" spans="1:11" x14ac:dyDescent="0.25">
      <c r="A215" s="23">
        <v>46214</v>
      </c>
      <c r="B215" s="21" t="s">
        <v>76</v>
      </c>
      <c r="C215" s="21" t="s">
        <v>286</v>
      </c>
      <c r="D215" s="21">
        <v>1</v>
      </c>
      <c r="E215" s="21">
        <v>1</v>
      </c>
      <c r="F215" s="21" t="s">
        <v>45</v>
      </c>
      <c r="G215" s="21" t="s">
        <v>387</v>
      </c>
      <c r="H215" s="21"/>
      <c r="I215" s="21" t="s">
        <v>385</v>
      </c>
      <c r="J215" s="26">
        <v>286.02</v>
      </c>
      <c r="K215" s="26">
        <v>286.02</v>
      </c>
    </row>
    <row r="216" spans="1:11" x14ac:dyDescent="0.25">
      <c r="A216" s="23">
        <v>46217</v>
      </c>
      <c r="B216" s="21" t="s">
        <v>76</v>
      </c>
      <c r="C216" s="21" t="s">
        <v>388</v>
      </c>
      <c r="D216" s="21">
        <v>1</v>
      </c>
      <c r="E216" s="21">
        <v>10</v>
      </c>
      <c r="F216" s="21" t="s">
        <v>150</v>
      </c>
      <c r="G216" s="21" t="s">
        <v>389</v>
      </c>
      <c r="H216" s="21"/>
      <c r="I216" s="21" t="s">
        <v>391</v>
      </c>
      <c r="J216" s="26">
        <v>27.58</v>
      </c>
      <c r="K216" s="26">
        <v>275.79999999999995</v>
      </c>
    </row>
    <row r="217" spans="1:11" x14ac:dyDescent="0.25">
      <c r="A217" s="23">
        <v>46217</v>
      </c>
      <c r="B217" s="21" t="s">
        <v>76</v>
      </c>
      <c r="C217" s="21" t="s">
        <v>388</v>
      </c>
      <c r="D217" s="21">
        <v>2</v>
      </c>
      <c r="E217" s="21">
        <v>1</v>
      </c>
      <c r="F217" s="21" t="s">
        <v>150</v>
      </c>
      <c r="G217" s="21" t="s">
        <v>390</v>
      </c>
      <c r="H217" s="21"/>
      <c r="I217" s="21" t="s">
        <v>391</v>
      </c>
      <c r="J217" s="26">
        <v>19.82</v>
      </c>
      <c r="K217" s="26">
        <v>19.82</v>
      </c>
    </row>
    <row r="218" spans="1:11" x14ac:dyDescent="0.25">
      <c r="A218" s="23">
        <v>46217</v>
      </c>
      <c r="B218" s="21" t="s">
        <v>76</v>
      </c>
      <c r="C218" s="21" t="s">
        <v>388</v>
      </c>
      <c r="D218" s="21">
        <v>3</v>
      </c>
      <c r="E218" s="21">
        <v>1</v>
      </c>
      <c r="F218" s="21" t="s">
        <v>150</v>
      </c>
      <c r="G218" s="21" t="s">
        <v>328</v>
      </c>
      <c r="H218" s="21"/>
      <c r="I218" s="21" t="s">
        <v>391</v>
      </c>
      <c r="J218" s="26">
        <v>41.37</v>
      </c>
      <c r="K218" s="26">
        <v>41.37</v>
      </c>
    </row>
    <row r="219" spans="1:11" x14ac:dyDescent="0.25">
      <c r="A219" s="23"/>
      <c r="B219" s="21"/>
      <c r="C219" s="21"/>
      <c r="D219" s="21"/>
      <c r="E219" s="21"/>
      <c r="F219" s="21"/>
      <c r="G219" s="21"/>
      <c r="H219" s="21"/>
      <c r="I219" s="21"/>
      <c r="J219" s="26"/>
      <c r="K219" s="26"/>
    </row>
  </sheetData>
  <sortState xmlns:xlrd2="http://schemas.microsoft.com/office/spreadsheetml/2017/richdata2" ref="A2:L165">
    <sortCondition ref="A2:A165"/>
  </sortState>
  <mergeCells count="1">
    <mergeCell ref="B142:I14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K87"/>
  <sheetViews>
    <sheetView topLeftCell="A64" workbookViewId="0">
      <selection activeCell="A87" sqref="A87:XFD87"/>
    </sheetView>
  </sheetViews>
  <sheetFormatPr baseColWidth="10" defaultColWidth="9.140625" defaultRowHeight="15" x14ac:dyDescent="0.25"/>
  <cols>
    <col min="1" max="1" width="13" customWidth="1"/>
    <col min="2" max="2" width="15" customWidth="1"/>
    <col min="3" max="3" width="22" customWidth="1"/>
    <col min="4" max="4" width="12.42578125" customWidth="1"/>
    <col min="5" max="5" width="6.42578125" bestFit="1" customWidth="1"/>
    <col min="6" max="6" width="10" customWidth="1"/>
    <col min="7" max="7" width="45.42578125" bestFit="1" customWidth="1"/>
    <col min="8" max="8" width="19.140625" customWidth="1"/>
    <col min="9" max="9" width="25" customWidth="1"/>
    <col min="10" max="10" width="16.140625" bestFit="1" customWidth="1"/>
    <col min="11" max="11" width="15" customWidth="1"/>
  </cols>
  <sheetData>
    <row r="1" spans="1:11" ht="20.25" x14ac:dyDescent="0.35">
      <c r="A1" s="16" t="s">
        <v>23</v>
      </c>
    </row>
    <row r="3" spans="1:11" ht="17.25" x14ac:dyDescent="0.3">
      <c r="A3" s="38" t="s">
        <v>24</v>
      </c>
      <c r="B3" s="38"/>
      <c r="C3" s="38"/>
      <c r="D3" s="25">
        <f>SUMIF(Historial_Compras!B:B, "Arauco", Historial_Compras!K:K)</f>
        <v>145700.61300000001</v>
      </c>
    </row>
    <row r="5" spans="1:11" ht="24" customHeight="1" x14ac:dyDescent="0.25">
      <c r="A5" s="24" t="s">
        <v>18</v>
      </c>
      <c r="B5" s="24" t="s">
        <v>19</v>
      </c>
      <c r="C5" s="24" t="s">
        <v>20</v>
      </c>
      <c r="D5" s="24" t="s">
        <v>5</v>
      </c>
      <c r="E5" s="27" t="s">
        <v>83</v>
      </c>
      <c r="F5" s="24" t="s">
        <v>7</v>
      </c>
      <c r="G5" s="24" t="s">
        <v>8</v>
      </c>
      <c r="H5" s="24" t="s">
        <v>21</v>
      </c>
      <c r="I5" s="24" t="s">
        <v>22</v>
      </c>
      <c r="J5" s="24" t="s">
        <v>11</v>
      </c>
      <c r="K5" s="24" t="s">
        <v>12</v>
      </c>
    </row>
    <row r="6" spans="1:11" x14ac:dyDescent="0.25">
      <c r="A6" s="23">
        <v>46176</v>
      </c>
      <c r="B6" s="21" t="s">
        <v>43</v>
      </c>
      <c r="C6" s="21" t="s">
        <v>34</v>
      </c>
      <c r="D6" s="21">
        <v>1</v>
      </c>
      <c r="E6" s="21">
        <v>10</v>
      </c>
      <c r="F6" s="21" t="s">
        <v>37</v>
      </c>
      <c r="G6" s="21" t="s">
        <v>38</v>
      </c>
      <c r="H6" s="21"/>
      <c r="I6" s="21"/>
      <c r="J6" s="26">
        <v>105.49072</v>
      </c>
      <c r="K6" s="26">
        <v>1054.9071999999999</v>
      </c>
    </row>
    <row r="7" spans="1:11" x14ac:dyDescent="0.25">
      <c r="A7" s="23">
        <v>46176</v>
      </c>
      <c r="B7" s="21" t="s">
        <v>43</v>
      </c>
      <c r="C7" s="21" t="s">
        <v>34</v>
      </c>
      <c r="D7" s="21">
        <v>2</v>
      </c>
      <c r="E7" s="21">
        <v>10</v>
      </c>
      <c r="F7" s="21" t="s">
        <v>13</v>
      </c>
      <c r="G7" s="21" t="s">
        <v>39</v>
      </c>
      <c r="H7" s="21"/>
      <c r="I7" s="21"/>
      <c r="J7" s="26">
        <v>51.34</v>
      </c>
      <c r="K7" s="26">
        <v>513.40000000000009</v>
      </c>
    </row>
    <row r="8" spans="1:11" x14ac:dyDescent="0.25">
      <c r="A8" s="23">
        <v>46176</v>
      </c>
      <c r="B8" s="21" t="s">
        <v>43</v>
      </c>
      <c r="C8" s="21" t="s">
        <v>34</v>
      </c>
      <c r="D8" s="21">
        <v>3</v>
      </c>
      <c r="E8" s="21">
        <v>10</v>
      </c>
      <c r="F8" s="21" t="s">
        <v>35</v>
      </c>
      <c r="G8" s="21" t="s">
        <v>40</v>
      </c>
      <c r="H8" s="21"/>
      <c r="I8" s="21"/>
      <c r="J8" s="26">
        <v>37.21</v>
      </c>
      <c r="K8" s="26">
        <v>372.1</v>
      </c>
    </row>
    <row r="9" spans="1:11" x14ac:dyDescent="0.25">
      <c r="A9" s="23">
        <v>46176</v>
      </c>
      <c r="B9" s="21" t="s">
        <v>43</v>
      </c>
      <c r="C9" s="21" t="s">
        <v>34</v>
      </c>
      <c r="D9" s="21">
        <v>4</v>
      </c>
      <c r="E9" s="21">
        <v>10</v>
      </c>
      <c r="F9" s="21" t="s">
        <v>35</v>
      </c>
      <c r="G9" s="21" t="s">
        <v>41</v>
      </c>
      <c r="H9" s="21"/>
      <c r="I9" s="21"/>
      <c r="J9" s="26">
        <v>28.51</v>
      </c>
      <c r="K9" s="26">
        <v>285.10000000000002</v>
      </c>
    </row>
    <row r="10" spans="1:11" x14ac:dyDescent="0.25">
      <c r="A10" s="23">
        <v>46176</v>
      </c>
      <c r="B10" s="21" t="s">
        <v>43</v>
      </c>
      <c r="C10" s="21" t="s">
        <v>34</v>
      </c>
      <c r="D10" s="21">
        <v>5</v>
      </c>
      <c r="E10" s="21">
        <v>300</v>
      </c>
      <c r="F10" s="21" t="s">
        <v>36</v>
      </c>
      <c r="G10" s="21" t="s">
        <v>42</v>
      </c>
      <c r="H10" s="21"/>
      <c r="I10" s="21"/>
      <c r="J10" s="26">
        <v>36.729999999999997</v>
      </c>
      <c r="K10" s="26">
        <v>11018.999999999998</v>
      </c>
    </row>
    <row r="11" spans="1:11" x14ac:dyDescent="0.25">
      <c r="A11" s="23">
        <v>46181</v>
      </c>
      <c r="B11" s="21" t="s">
        <v>43</v>
      </c>
      <c r="C11" s="21" t="s">
        <v>48</v>
      </c>
      <c r="D11" s="21">
        <v>1</v>
      </c>
      <c r="E11" s="21">
        <v>4</v>
      </c>
      <c r="F11" s="21" t="s">
        <v>45</v>
      </c>
      <c r="G11" s="21" t="s">
        <v>49</v>
      </c>
      <c r="H11" s="21"/>
      <c r="I11" s="21"/>
      <c r="J11" s="26">
        <v>16.38</v>
      </c>
      <c r="K11" s="26">
        <v>65.52</v>
      </c>
    </row>
    <row r="12" spans="1:11" x14ac:dyDescent="0.25">
      <c r="A12" s="23">
        <v>46182</v>
      </c>
      <c r="B12" s="21" t="s">
        <v>43</v>
      </c>
      <c r="C12" s="21" t="s">
        <v>50</v>
      </c>
      <c r="D12" s="21">
        <v>1</v>
      </c>
      <c r="E12" s="21">
        <v>2</v>
      </c>
      <c r="F12" s="21" t="s">
        <v>45</v>
      </c>
      <c r="G12" s="21" t="s">
        <v>53</v>
      </c>
      <c r="H12" s="21"/>
      <c r="I12" s="21"/>
      <c r="J12" s="26">
        <v>25</v>
      </c>
      <c r="K12" s="26">
        <v>50</v>
      </c>
    </row>
    <row r="13" spans="1:11" x14ac:dyDescent="0.25">
      <c r="A13" s="23">
        <v>46182</v>
      </c>
      <c r="B13" s="21" t="s">
        <v>43</v>
      </c>
      <c r="C13" s="21" t="s">
        <v>50</v>
      </c>
      <c r="D13" s="21">
        <v>2</v>
      </c>
      <c r="E13" s="21">
        <v>8</v>
      </c>
      <c r="F13" s="21" t="s">
        <v>45</v>
      </c>
      <c r="G13" s="21" t="s">
        <v>122</v>
      </c>
      <c r="H13" s="21" t="s">
        <v>54</v>
      </c>
      <c r="I13" s="21"/>
      <c r="J13" s="26">
        <v>120</v>
      </c>
      <c r="K13" s="26">
        <v>960</v>
      </c>
    </row>
    <row r="14" spans="1:11" x14ac:dyDescent="0.25">
      <c r="A14" s="23">
        <v>46182</v>
      </c>
      <c r="B14" s="21" t="s">
        <v>43</v>
      </c>
      <c r="C14" s="21" t="s">
        <v>50</v>
      </c>
      <c r="D14" s="21">
        <v>3</v>
      </c>
      <c r="E14" s="21">
        <v>9</v>
      </c>
      <c r="F14" s="21" t="s">
        <v>45</v>
      </c>
      <c r="G14" s="21" t="s">
        <v>51</v>
      </c>
      <c r="H14" s="21" t="s">
        <v>54</v>
      </c>
      <c r="I14" s="21"/>
      <c r="J14" s="26">
        <v>251</v>
      </c>
      <c r="K14" s="26">
        <v>2259</v>
      </c>
    </row>
    <row r="15" spans="1:11" x14ac:dyDescent="0.25">
      <c r="A15" s="23">
        <v>46182</v>
      </c>
      <c r="B15" s="21" t="s">
        <v>43</v>
      </c>
      <c r="C15" s="21" t="s">
        <v>119</v>
      </c>
      <c r="D15" s="21">
        <v>1</v>
      </c>
      <c r="E15" s="21">
        <v>2</v>
      </c>
      <c r="F15" s="21" t="s">
        <v>120</v>
      </c>
      <c r="G15" s="21" t="s">
        <v>121</v>
      </c>
      <c r="H15" s="21"/>
      <c r="I15" s="21"/>
      <c r="J15" s="21">
        <v>3502</v>
      </c>
      <c r="K15" s="21">
        <v>7004</v>
      </c>
    </row>
    <row r="16" spans="1:11" ht="14.25" customHeight="1" x14ac:dyDescent="0.25">
      <c r="A16" s="23">
        <v>46183</v>
      </c>
      <c r="B16" s="21" t="s">
        <v>43</v>
      </c>
      <c r="C16" s="21" t="s">
        <v>56</v>
      </c>
      <c r="D16" s="21">
        <v>1</v>
      </c>
      <c r="E16" s="21">
        <v>17</v>
      </c>
      <c r="F16" s="21" t="s">
        <v>45</v>
      </c>
      <c r="G16" s="21" t="s">
        <v>57</v>
      </c>
      <c r="H16" s="21"/>
      <c r="I16" s="21"/>
      <c r="J16" s="26">
        <v>35</v>
      </c>
      <c r="K16" s="26">
        <v>595</v>
      </c>
    </row>
    <row r="17" spans="1:11" x14ac:dyDescent="0.25">
      <c r="A17" s="23">
        <v>46183</v>
      </c>
      <c r="B17" s="21" t="s">
        <v>43</v>
      </c>
      <c r="C17" s="21" t="s">
        <v>58</v>
      </c>
      <c r="D17" s="21">
        <v>1</v>
      </c>
      <c r="E17" s="21">
        <v>10</v>
      </c>
      <c r="F17" s="21" t="s">
        <v>45</v>
      </c>
      <c r="G17" s="21" t="s">
        <v>59</v>
      </c>
      <c r="H17" s="21"/>
      <c r="I17" s="21"/>
      <c r="J17" s="26">
        <v>22.41</v>
      </c>
      <c r="K17" s="26">
        <v>224.1</v>
      </c>
    </row>
    <row r="18" spans="1:11" x14ac:dyDescent="0.25">
      <c r="A18" s="23">
        <v>46183</v>
      </c>
      <c r="B18" s="21" t="s">
        <v>43</v>
      </c>
      <c r="C18" s="21" t="s">
        <v>58</v>
      </c>
      <c r="D18" s="21">
        <v>2</v>
      </c>
      <c r="E18" s="21">
        <v>20</v>
      </c>
      <c r="F18" s="21" t="s">
        <v>45</v>
      </c>
      <c r="G18" s="21" t="s">
        <v>60</v>
      </c>
      <c r="H18" s="21"/>
      <c r="I18" s="21"/>
      <c r="J18" s="26">
        <v>47.84</v>
      </c>
      <c r="K18" s="26">
        <v>956.80000000000007</v>
      </c>
    </row>
    <row r="19" spans="1:11" x14ac:dyDescent="0.25">
      <c r="A19" s="23">
        <v>46184</v>
      </c>
      <c r="B19" s="21" t="s">
        <v>43</v>
      </c>
      <c r="C19" s="21" t="s">
        <v>50</v>
      </c>
      <c r="D19" s="21">
        <v>1</v>
      </c>
      <c r="E19" s="21">
        <v>3</v>
      </c>
      <c r="F19" s="21" t="s">
        <v>45</v>
      </c>
      <c r="G19" s="21" t="s">
        <v>55</v>
      </c>
      <c r="H19" s="21"/>
      <c r="I19" s="21"/>
      <c r="J19" s="26">
        <v>85.004999999999995</v>
      </c>
      <c r="K19" s="26">
        <v>255.01499999999999</v>
      </c>
    </row>
    <row r="20" spans="1:11" x14ac:dyDescent="0.25">
      <c r="A20" s="23">
        <v>46185</v>
      </c>
      <c r="B20" s="21" t="s">
        <v>43</v>
      </c>
      <c r="C20" s="21" t="s">
        <v>44</v>
      </c>
      <c r="D20" s="21">
        <v>1</v>
      </c>
      <c r="E20" s="21">
        <v>3</v>
      </c>
      <c r="F20" s="21" t="s">
        <v>45</v>
      </c>
      <c r="G20" s="21" t="s">
        <v>46</v>
      </c>
      <c r="H20" s="21"/>
      <c r="I20" s="21"/>
      <c r="J20" s="26">
        <v>69.989999999999995</v>
      </c>
      <c r="K20" s="26">
        <v>209.96999999999997</v>
      </c>
    </row>
    <row r="21" spans="1:11" x14ac:dyDescent="0.25">
      <c r="A21" s="23">
        <v>46185</v>
      </c>
      <c r="B21" s="21" t="s">
        <v>43</v>
      </c>
      <c r="C21" s="21" t="s">
        <v>44</v>
      </c>
      <c r="D21" s="21">
        <v>2</v>
      </c>
      <c r="E21" s="21">
        <v>2</v>
      </c>
      <c r="F21" s="21" t="s">
        <v>45</v>
      </c>
      <c r="G21" s="21" t="s">
        <v>47</v>
      </c>
      <c r="H21" s="21"/>
      <c r="I21" s="21"/>
      <c r="J21" s="26">
        <v>388.99</v>
      </c>
      <c r="K21" s="26">
        <v>777.98</v>
      </c>
    </row>
    <row r="22" spans="1:11" x14ac:dyDescent="0.25">
      <c r="A22" s="23">
        <v>46186</v>
      </c>
      <c r="B22" s="21" t="s">
        <v>43</v>
      </c>
      <c r="C22" s="21" t="s">
        <v>58</v>
      </c>
      <c r="D22" s="21">
        <v>1</v>
      </c>
      <c r="E22" s="21">
        <v>20</v>
      </c>
      <c r="F22" s="21" t="s">
        <v>125</v>
      </c>
      <c r="G22" s="21" t="s">
        <v>136</v>
      </c>
      <c r="H22" s="21"/>
      <c r="I22" s="21"/>
      <c r="J22" s="26">
        <v>65.52</v>
      </c>
      <c r="K22" s="26">
        <v>1310.3999999999999</v>
      </c>
    </row>
    <row r="23" spans="1:11" x14ac:dyDescent="0.25">
      <c r="A23" s="23">
        <v>46190</v>
      </c>
      <c r="B23" s="21" t="s">
        <v>43</v>
      </c>
      <c r="C23" s="21" t="s">
        <v>62</v>
      </c>
      <c r="D23" s="21">
        <v>1</v>
      </c>
      <c r="E23" s="21">
        <v>3</v>
      </c>
      <c r="F23" s="21" t="s">
        <v>45</v>
      </c>
      <c r="G23" s="21" t="s">
        <v>63</v>
      </c>
      <c r="H23" s="21"/>
      <c r="I23" s="21"/>
      <c r="J23" s="26">
        <v>145</v>
      </c>
      <c r="K23" s="26">
        <v>435</v>
      </c>
    </row>
    <row r="24" spans="1:11" x14ac:dyDescent="0.25">
      <c r="A24" s="23">
        <v>46191</v>
      </c>
      <c r="B24" s="21" t="s">
        <v>43</v>
      </c>
      <c r="C24" s="21" t="s">
        <v>58</v>
      </c>
      <c r="D24" s="21">
        <v>1</v>
      </c>
      <c r="E24" s="21">
        <v>1</v>
      </c>
      <c r="F24" s="21" t="s">
        <v>45</v>
      </c>
      <c r="G24" s="21" t="s">
        <v>61</v>
      </c>
      <c r="H24" s="21"/>
      <c r="I24" s="21"/>
      <c r="J24" s="26">
        <v>3502</v>
      </c>
      <c r="K24" s="26">
        <v>3502</v>
      </c>
    </row>
    <row r="25" spans="1:11" x14ac:dyDescent="0.25">
      <c r="A25" s="23">
        <v>46191</v>
      </c>
      <c r="B25" s="21" t="s">
        <v>43</v>
      </c>
      <c r="C25" s="21" t="s">
        <v>64</v>
      </c>
      <c r="D25" s="21">
        <v>1</v>
      </c>
      <c r="E25" s="21">
        <v>5</v>
      </c>
      <c r="F25" s="21" t="s">
        <v>65</v>
      </c>
      <c r="G25" s="21" t="s">
        <v>66</v>
      </c>
      <c r="H25" s="21"/>
      <c r="I25" s="21"/>
      <c r="J25" s="26">
        <v>230</v>
      </c>
      <c r="K25" s="26">
        <v>1150</v>
      </c>
    </row>
    <row r="26" spans="1:11" x14ac:dyDescent="0.25">
      <c r="A26" s="23">
        <v>46191</v>
      </c>
      <c r="B26" s="21" t="s">
        <v>43</v>
      </c>
      <c r="C26" s="21" t="s">
        <v>58</v>
      </c>
      <c r="D26" s="21">
        <v>1</v>
      </c>
      <c r="E26" s="21">
        <v>30</v>
      </c>
      <c r="F26" s="21" t="s">
        <v>45</v>
      </c>
      <c r="G26" s="21" t="s">
        <v>67</v>
      </c>
      <c r="H26" s="21"/>
      <c r="I26" s="21"/>
      <c r="J26" s="26">
        <v>22.41</v>
      </c>
      <c r="K26" s="26">
        <v>672.3</v>
      </c>
    </row>
    <row r="27" spans="1:11" x14ac:dyDescent="0.25">
      <c r="A27" s="23">
        <v>46191</v>
      </c>
      <c r="B27" s="21" t="s">
        <v>43</v>
      </c>
      <c r="C27" s="21" t="s">
        <v>58</v>
      </c>
      <c r="D27" s="21">
        <v>2</v>
      </c>
      <c r="E27" s="21">
        <v>30</v>
      </c>
      <c r="F27" s="21" t="s">
        <v>45</v>
      </c>
      <c r="G27" s="21" t="s">
        <v>68</v>
      </c>
      <c r="H27" s="21"/>
      <c r="I27" s="21"/>
      <c r="J27" s="26">
        <v>73.28</v>
      </c>
      <c r="K27" s="26">
        <v>2198.4</v>
      </c>
    </row>
    <row r="28" spans="1:11" x14ac:dyDescent="0.25">
      <c r="A28" s="23">
        <v>46191</v>
      </c>
      <c r="B28" s="21" t="s">
        <v>43</v>
      </c>
      <c r="C28" s="21" t="s">
        <v>69</v>
      </c>
      <c r="D28" s="21">
        <v>1</v>
      </c>
      <c r="E28" s="21">
        <v>2</v>
      </c>
      <c r="F28" s="21" t="s">
        <v>70</v>
      </c>
      <c r="G28" s="21" t="s">
        <v>71</v>
      </c>
      <c r="H28" s="21"/>
      <c r="I28" s="21"/>
      <c r="J28" s="26">
        <v>96.5</v>
      </c>
      <c r="K28" s="26">
        <v>193</v>
      </c>
    </row>
    <row r="29" spans="1:11" x14ac:dyDescent="0.25">
      <c r="A29" s="23">
        <v>46191</v>
      </c>
      <c r="B29" s="21" t="s">
        <v>43</v>
      </c>
      <c r="C29" s="21" t="s">
        <v>69</v>
      </c>
      <c r="D29" s="21">
        <v>2</v>
      </c>
      <c r="E29" s="21">
        <v>1</v>
      </c>
      <c r="F29" s="21" t="s">
        <v>72</v>
      </c>
      <c r="G29" s="21" t="s">
        <v>73</v>
      </c>
      <c r="H29" s="21"/>
      <c r="I29" s="21"/>
      <c r="J29" s="26">
        <v>83.5</v>
      </c>
      <c r="K29" s="26">
        <v>83.5</v>
      </c>
    </row>
    <row r="30" spans="1:11" x14ac:dyDescent="0.25">
      <c r="A30" s="23">
        <v>46191</v>
      </c>
      <c r="B30" s="21" t="s">
        <v>43</v>
      </c>
      <c r="C30" s="21" t="s">
        <v>69</v>
      </c>
      <c r="D30" s="21">
        <v>3</v>
      </c>
      <c r="E30" s="21">
        <v>2</v>
      </c>
      <c r="F30" s="21" t="s">
        <v>45</v>
      </c>
      <c r="G30" s="21" t="s">
        <v>74</v>
      </c>
      <c r="H30" s="21"/>
      <c r="I30" s="21"/>
      <c r="J30" s="26">
        <v>6</v>
      </c>
      <c r="K30" s="26">
        <v>12</v>
      </c>
    </row>
    <row r="31" spans="1:11" x14ac:dyDescent="0.25">
      <c r="A31" s="23">
        <v>46195</v>
      </c>
      <c r="B31" s="21" t="s">
        <v>43</v>
      </c>
      <c r="C31" s="21" t="s">
        <v>64</v>
      </c>
      <c r="D31" s="21">
        <v>1</v>
      </c>
      <c r="E31" s="21">
        <v>16</v>
      </c>
      <c r="F31" s="21" t="s">
        <v>45</v>
      </c>
      <c r="G31" s="21" t="s">
        <v>81</v>
      </c>
      <c r="H31" s="21"/>
      <c r="I31" s="21"/>
      <c r="J31" s="26">
        <v>110</v>
      </c>
      <c r="K31" s="26">
        <v>1760</v>
      </c>
    </row>
    <row r="32" spans="1:11" x14ac:dyDescent="0.25">
      <c r="A32" s="23">
        <v>46195</v>
      </c>
      <c r="B32" s="21" t="s">
        <v>43</v>
      </c>
      <c r="C32" s="21" t="s">
        <v>64</v>
      </c>
      <c r="D32" s="21">
        <v>1</v>
      </c>
      <c r="E32" s="21">
        <v>5</v>
      </c>
      <c r="F32" s="21" t="s">
        <v>45</v>
      </c>
      <c r="G32" s="21" t="s">
        <v>82</v>
      </c>
      <c r="H32" s="21"/>
      <c r="I32" s="21"/>
      <c r="J32" s="21">
        <v>36.21</v>
      </c>
      <c r="K32" s="21">
        <v>181.05</v>
      </c>
    </row>
    <row r="33" spans="1:11" x14ac:dyDescent="0.25">
      <c r="A33" s="23">
        <v>46196</v>
      </c>
      <c r="B33" s="21" t="s">
        <v>43</v>
      </c>
      <c r="C33" s="21" t="s">
        <v>58</v>
      </c>
      <c r="D33" s="21">
        <v>1</v>
      </c>
      <c r="E33" s="21">
        <v>1</v>
      </c>
      <c r="F33" s="21" t="s">
        <v>150</v>
      </c>
      <c r="G33" s="21" t="s">
        <v>267</v>
      </c>
      <c r="H33" s="21"/>
      <c r="I33" s="21" t="s">
        <v>198</v>
      </c>
      <c r="J33" s="21">
        <v>3502</v>
      </c>
      <c r="K33" s="21">
        <v>3502</v>
      </c>
    </row>
    <row r="34" spans="1:11" x14ac:dyDescent="0.25">
      <c r="A34" s="23">
        <v>46196</v>
      </c>
      <c r="B34" s="21" t="s">
        <v>43</v>
      </c>
      <c r="C34" s="21" t="s">
        <v>279</v>
      </c>
      <c r="D34" s="21">
        <v>1</v>
      </c>
      <c r="E34" s="21">
        <v>16</v>
      </c>
      <c r="F34" s="21" t="s">
        <v>150</v>
      </c>
      <c r="G34" s="21" t="s">
        <v>297</v>
      </c>
      <c r="H34" s="21"/>
      <c r="I34" s="21"/>
      <c r="J34" s="21">
        <v>110</v>
      </c>
      <c r="K34" s="21">
        <v>1760</v>
      </c>
    </row>
    <row r="35" spans="1:11" x14ac:dyDescent="0.25">
      <c r="A35" s="23">
        <v>46197</v>
      </c>
      <c r="B35" s="21" t="s">
        <v>43</v>
      </c>
      <c r="C35" s="21" t="s">
        <v>268</v>
      </c>
      <c r="D35" s="21">
        <v>1</v>
      </c>
      <c r="E35" s="21">
        <v>5</v>
      </c>
      <c r="F35" s="21" t="s">
        <v>150</v>
      </c>
      <c r="G35" s="21" t="s">
        <v>269</v>
      </c>
      <c r="H35" s="21"/>
      <c r="I35" s="21" t="s">
        <v>198</v>
      </c>
      <c r="J35" s="21">
        <v>26.35</v>
      </c>
      <c r="K35" s="21">
        <v>131.75</v>
      </c>
    </row>
    <row r="36" spans="1:11" x14ac:dyDescent="0.25">
      <c r="A36" s="23">
        <v>46197</v>
      </c>
      <c r="B36" s="21" t="s">
        <v>43</v>
      </c>
      <c r="C36" s="21" t="s">
        <v>268</v>
      </c>
      <c r="D36" s="21">
        <v>2</v>
      </c>
      <c r="E36" s="21">
        <v>5</v>
      </c>
      <c r="F36" s="21" t="s">
        <v>150</v>
      </c>
      <c r="G36" s="21" t="s">
        <v>270</v>
      </c>
      <c r="H36" s="21"/>
      <c r="I36" s="21" t="s">
        <v>198</v>
      </c>
      <c r="J36" s="21">
        <v>28.75</v>
      </c>
      <c r="K36" s="21">
        <v>143.75</v>
      </c>
    </row>
    <row r="37" spans="1:11" x14ac:dyDescent="0.25">
      <c r="A37" s="23">
        <v>46197</v>
      </c>
      <c r="B37" s="21" t="s">
        <v>43</v>
      </c>
      <c r="C37" s="21" t="s">
        <v>279</v>
      </c>
      <c r="D37" s="21">
        <v>1</v>
      </c>
      <c r="E37" s="21">
        <v>5</v>
      </c>
      <c r="F37" s="21" t="s">
        <v>65</v>
      </c>
      <c r="G37" s="21" t="s">
        <v>281</v>
      </c>
      <c r="H37" s="21"/>
      <c r="I37" s="21" t="s">
        <v>280</v>
      </c>
      <c r="J37" s="21">
        <v>12.27</v>
      </c>
      <c r="K37" s="21">
        <v>61.349999999999994</v>
      </c>
    </row>
    <row r="38" spans="1:11" x14ac:dyDescent="0.25">
      <c r="A38" s="23">
        <v>46197</v>
      </c>
      <c r="B38" s="21" t="s">
        <v>43</v>
      </c>
      <c r="C38" s="21" t="s">
        <v>279</v>
      </c>
      <c r="D38" s="21">
        <v>2</v>
      </c>
      <c r="E38" s="21">
        <v>3</v>
      </c>
      <c r="F38" s="21" t="s">
        <v>150</v>
      </c>
      <c r="G38" s="21" t="s">
        <v>282</v>
      </c>
      <c r="H38" s="21"/>
      <c r="I38" s="21" t="s">
        <v>280</v>
      </c>
      <c r="J38" s="21">
        <v>48.4</v>
      </c>
      <c r="K38" s="21">
        <v>145.19999999999999</v>
      </c>
    </row>
    <row r="39" spans="1:11" x14ac:dyDescent="0.25">
      <c r="A39" s="23">
        <v>46199</v>
      </c>
      <c r="B39" s="21" t="s">
        <v>161</v>
      </c>
      <c r="C39" s="21" t="s">
        <v>155</v>
      </c>
      <c r="D39" s="21">
        <v>1</v>
      </c>
      <c r="E39" s="21">
        <v>48</v>
      </c>
      <c r="F39" s="21" t="s">
        <v>156</v>
      </c>
      <c r="G39" s="21" t="s">
        <v>157</v>
      </c>
      <c r="H39" s="21"/>
      <c r="I39" s="21" t="s">
        <v>159</v>
      </c>
      <c r="J39" s="21">
        <v>1.8695999999999999</v>
      </c>
      <c r="K39" s="21">
        <v>89.740799999999993</v>
      </c>
    </row>
    <row r="40" spans="1:11" x14ac:dyDescent="0.25">
      <c r="A40" s="23">
        <v>46199</v>
      </c>
      <c r="B40" s="21" t="s">
        <v>161</v>
      </c>
      <c r="C40" s="21" t="s">
        <v>155</v>
      </c>
      <c r="D40" s="21">
        <v>2</v>
      </c>
      <c r="E40" s="21">
        <v>1</v>
      </c>
      <c r="F40" s="21" t="s">
        <v>65</v>
      </c>
      <c r="G40" s="21" t="s">
        <v>158</v>
      </c>
      <c r="H40" s="21"/>
      <c r="I40" s="21"/>
      <c r="J40" s="21">
        <v>49.23</v>
      </c>
      <c r="K40" s="21">
        <v>49.23</v>
      </c>
    </row>
    <row r="41" spans="1:11" x14ac:dyDescent="0.25">
      <c r="A41" s="23">
        <v>46199</v>
      </c>
      <c r="B41" s="21" t="s">
        <v>161</v>
      </c>
      <c r="C41" s="21" t="s">
        <v>155</v>
      </c>
      <c r="D41" s="21">
        <v>3</v>
      </c>
      <c r="E41" s="21">
        <v>4</v>
      </c>
      <c r="F41" s="21" t="s">
        <v>156</v>
      </c>
      <c r="G41" s="21" t="s">
        <v>160</v>
      </c>
      <c r="H41" s="21"/>
      <c r="I41" s="21"/>
      <c r="J41" s="21">
        <v>62.08</v>
      </c>
      <c r="K41" s="21">
        <v>248.32</v>
      </c>
    </row>
    <row r="42" spans="1:11" x14ac:dyDescent="0.25">
      <c r="A42" s="23">
        <v>46199</v>
      </c>
      <c r="B42" s="21" t="s">
        <v>43</v>
      </c>
      <c r="C42" s="21" t="s">
        <v>64</v>
      </c>
      <c r="D42" s="21">
        <v>1</v>
      </c>
      <c r="E42" s="21">
        <v>10</v>
      </c>
      <c r="F42" s="21" t="s">
        <v>150</v>
      </c>
      <c r="G42" s="21" t="s">
        <v>179</v>
      </c>
      <c r="H42" s="21" t="s">
        <v>112</v>
      </c>
      <c r="I42" s="21" t="s">
        <v>159</v>
      </c>
      <c r="J42" s="21">
        <v>30</v>
      </c>
      <c r="K42" s="21">
        <v>300</v>
      </c>
    </row>
    <row r="43" spans="1:11" x14ac:dyDescent="0.25">
      <c r="A43" s="23">
        <v>46199</v>
      </c>
      <c r="B43" s="21" t="s">
        <v>43</v>
      </c>
      <c r="C43" s="21" t="s">
        <v>64</v>
      </c>
      <c r="D43" s="21">
        <v>2</v>
      </c>
      <c r="E43" s="21">
        <v>20</v>
      </c>
      <c r="F43" s="21" t="s">
        <v>45</v>
      </c>
      <c r="G43" s="21" t="s">
        <v>180</v>
      </c>
      <c r="H43" s="21"/>
      <c r="I43" s="21" t="s">
        <v>159</v>
      </c>
      <c r="J43" s="21">
        <v>20</v>
      </c>
      <c r="K43" s="21">
        <v>400</v>
      </c>
    </row>
    <row r="44" spans="1:11" x14ac:dyDescent="0.25">
      <c r="A44" s="23">
        <v>46199</v>
      </c>
      <c r="B44" s="21" t="s">
        <v>43</v>
      </c>
      <c r="C44" s="21" t="s">
        <v>64</v>
      </c>
      <c r="D44" s="21">
        <v>3</v>
      </c>
      <c r="E44" s="21">
        <v>9</v>
      </c>
      <c r="F44" s="21" t="s">
        <v>45</v>
      </c>
      <c r="G44" s="21" t="s">
        <v>181</v>
      </c>
      <c r="H44" s="21"/>
      <c r="I44" s="21" t="s">
        <v>159</v>
      </c>
      <c r="J44" s="21">
        <v>130</v>
      </c>
      <c r="K44" s="21">
        <v>1170</v>
      </c>
    </row>
    <row r="45" spans="1:11" x14ac:dyDescent="0.25">
      <c r="A45" s="23">
        <v>46199</v>
      </c>
      <c r="B45" s="21" t="s">
        <v>43</v>
      </c>
      <c r="C45" s="21" t="s">
        <v>64</v>
      </c>
      <c r="D45" s="21">
        <v>4</v>
      </c>
      <c r="E45" s="21">
        <v>30</v>
      </c>
      <c r="F45" s="21" t="s">
        <v>45</v>
      </c>
      <c r="G45" s="21" t="s">
        <v>182</v>
      </c>
      <c r="H45" s="21"/>
      <c r="I45" s="21" t="s">
        <v>159</v>
      </c>
      <c r="J45" s="21">
        <v>12</v>
      </c>
      <c r="K45" s="21">
        <v>360</v>
      </c>
    </row>
    <row r="46" spans="1:11" x14ac:dyDescent="0.25">
      <c r="A46" s="23">
        <v>46199</v>
      </c>
      <c r="B46" s="21" t="s">
        <v>43</v>
      </c>
      <c r="C46" s="21" t="s">
        <v>64</v>
      </c>
      <c r="D46" s="21">
        <v>5</v>
      </c>
      <c r="E46" s="21">
        <v>5</v>
      </c>
      <c r="F46" s="21" t="s">
        <v>45</v>
      </c>
      <c r="G46" s="21" t="s">
        <v>183</v>
      </c>
      <c r="H46" s="21"/>
      <c r="I46" s="21" t="s">
        <v>159</v>
      </c>
      <c r="J46" s="21">
        <v>230</v>
      </c>
      <c r="K46" s="21">
        <v>1150</v>
      </c>
    </row>
    <row r="47" spans="1:11" x14ac:dyDescent="0.25">
      <c r="A47" s="23">
        <v>46199</v>
      </c>
      <c r="B47" s="21" t="s">
        <v>43</v>
      </c>
      <c r="C47" s="21" t="s">
        <v>286</v>
      </c>
      <c r="D47" s="21">
        <v>1</v>
      </c>
      <c r="E47" s="21">
        <v>3</v>
      </c>
      <c r="F47" s="21" t="s">
        <v>45</v>
      </c>
      <c r="G47" s="21" t="s">
        <v>276</v>
      </c>
      <c r="H47" s="21" t="s">
        <v>277</v>
      </c>
      <c r="I47" s="21" t="s">
        <v>280</v>
      </c>
      <c r="J47" s="21">
        <v>76.48</v>
      </c>
      <c r="K47" s="21">
        <v>229.44</v>
      </c>
    </row>
    <row r="48" spans="1:11" x14ac:dyDescent="0.25">
      <c r="A48" s="23">
        <v>46199</v>
      </c>
      <c r="B48" s="21" t="s">
        <v>43</v>
      </c>
      <c r="C48" s="21" t="s">
        <v>286</v>
      </c>
      <c r="D48" s="21">
        <v>2</v>
      </c>
      <c r="E48" s="21">
        <v>3</v>
      </c>
      <c r="F48" s="21" t="s">
        <v>45</v>
      </c>
      <c r="G48" s="21" t="s">
        <v>287</v>
      </c>
      <c r="H48" s="21" t="s">
        <v>277</v>
      </c>
      <c r="I48" s="21" t="s">
        <v>280</v>
      </c>
      <c r="J48" s="21">
        <v>66.849999999999994</v>
      </c>
      <c r="K48" s="21">
        <v>200.54999999999998</v>
      </c>
    </row>
    <row r="49" spans="1:11" x14ac:dyDescent="0.25">
      <c r="A49" s="23">
        <v>46202</v>
      </c>
      <c r="B49" s="21" t="s">
        <v>43</v>
      </c>
      <c r="C49" s="21" t="s">
        <v>215</v>
      </c>
      <c r="D49" s="21">
        <v>1</v>
      </c>
      <c r="E49" s="21">
        <v>1</v>
      </c>
      <c r="F49" s="21" t="s">
        <v>150</v>
      </c>
      <c r="G49" s="21" t="s">
        <v>220</v>
      </c>
      <c r="H49" s="21"/>
      <c r="I49" s="21" t="s">
        <v>219</v>
      </c>
      <c r="J49" s="21">
        <v>62</v>
      </c>
      <c r="K49" s="21">
        <v>62</v>
      </c>
    </row>
    <row r="50" spans="1:11" x14ac:dyDescent="0.25">
      <c r="A50" s="23">
        <v>46203</v>
      </c>
      <c r="B50" s="21" t="s">
        <v>43</v>
      </c>
      <c r="C50" s="21" t="s">
        <v>58</v>
      </c>
      <c r="D50" s="21">
        <v>1</v>
      </c>
      <c r="E50" s="21">
        <v>12</v>
      </c>
      <c r="F50" s="21" t="s">
        <v>150</v>
      </c>
      <c r="G50" s="21" t="s">
        <v>236</v>
      </c>
      <c r="H50" s="21"/>
      <c r="I50" s="21" t="s">
        <v>238</v>
      </c>
      <c r="J50" s="21">
        <v>22.41</v>
      </c>
      <c r="K50" s="21">
        <v>268.92</v>
      </c>
    </row>
    <row r="51" spans="1:11" x14ac:dyDescent="0.25">
      <c r="A51" s="23">
        <v>46203</v>
      </c>
      <c r="B51" s="21" t="s">
        <v>43</v>
      </c>
      <c r="C51" s="21" t="s">
        <v>58</v>
      </c>
      <c r="D51" s="21">
        <v>2</v>
      </c>
      <c r="E51" s="21">
        <v>2</v>
      </c>
      <c r="F51" s="21" t="s">
        <v>45</v>
      </c>
      <c r="G51" s="21" t="s">
        <v>237</v>
      </c>
      <c r="H51" s="21"/>
      <c r="I51" s="21" t="s">
        <v>238</v>
      </c>
      <c r="J51" s="21">
        <v>3502</v>
      </c>
      <c r="K51" s="21">
        <v>7004</v>
      </c>
    </row>
    <row r="52" spans="1:11" x14ac:dyDescent="0.25">
      <c r="A52" s="23">
        <v>46203</v>
      </c>
      <c r="B52" s="21" t="s">
        <v>43</v>
      </c>
      <c r="C52" s="21" t="s">
        <v>58</v>
      </c>
      <c r="D52" s="21">
        <v>3</v>
      </c>
      <c r="E52" s="21">
        <v>3</v>
      </c>
      <c r="F52" s="21" t="s">
        <v>120</v>
      </c>
      <c r="G52" s="21" t="s">
        <v>239</v>
      </c>
      <c r="H52" s="21"/>
      <c r="I52" s="21" t="s">
        <v>238</v>
      </c>
      <c r="J52" s="21">
        <v>321.3</v>
      </c>
      <c r="K52" s="21">
        <v>963.90000000000009</v>
      </c>
    </row>
    <row r="53" spans="1:11" x14ac:dyDescent="0.25">
      <c r="A53" s="23">
        <v>46203</v>
      </c>
      <c r="B53" s="21" t="s">
        <v>43</v>
      </c>
      <c r="C53" s="21" t="s">
        <v>240</v>
      </c>
      <c r="D53" s="21">
        <v>1</v>
      </c>
      <c r="E53" s="21">
        <v>2</v>
      </c>
      <c r="F53" s="21" t="s">
        <v>150</v>
      </c>
      <c r="G53" s="21" t="s">
        <v>241</v>
      </c>
      <c r="H53" s="21"/>
      <c r="I53" s="21" t="s">
        <v>242</v>
      </c>
      <c r="J53" s="21">
        <v>308.62</v>
      </c>
      <c r="K53" s="21">
        <v>617.24</v>
      </c>
    </row>
    <row r="54" spans="1:11" x14ac:dyDescent="0.25">
      <c r="A54" s="23">
        <v>46203</v>
      </c>
      <c r="B54" s="21" t="s">
        <v>43</v>
      </c>
      <c r="C54" s="21" t="s">
        <v>119</v>
      </c>
      <c r="D54" s="21">
        <v>1</v>
      </c>
      <c r="E54" s="21">
        <v>20</v>
      </c>
      <c r="F54" s="21" t="s">
        <v>150</v>
      </c>
      <c r="G54" s="21" t="s">
        <v>298</v>
      </c>
      <c r="H54" s="21"/>
      <c r="I54" s="21"/>
      <c r="J54" s="21">
        <v>22.41</v>
      </c>
      <c r="K54" s="21">
        <v>448.2</v>
      </c>
    </row>
    <row r="55" spans="1:11" x14ac:dyDescent="0.25">
      <c r="A55" s="23">
        <v>46203</v>
      </c>
      <c r="B55" s="21" t="s">
        <v>43</v>
      </c>
      <c r="C55" s="21" t="s">
        <v>119</v>
      </c>
      <c r="D55" s="21">
        <v>2</v>
      </c>
      <c r="E55" s="21">
        <v>2</v>
      </c>
      <c r="F55" s="21" t="s">
        <v>150</v>
      </c>
      <c r="G55" s="21" t="s">
        <v>299</v>
      </c>
      <c r="H55" s="21"/>
      <c r="I55" s="21"/>
      <c r="J55" s="21">
        <v>3502</v>
      </c>
      <c r="K55" s="21">
        <v>7004</v>
      </c>
    </row>
    <row r="56" spans="1:11" x14ac:dyDescent="0.25">
      <c r="A56" s="23">
        <v>46203</v>
      </c>
      <c r="B56" s="21" t="s">
        <v>43</v>
      </c>
      <c r="C56" s="21" t="s">
        <v>119</v>
      </c>
      <c r="D56" s="21">
        <v>3</v>
      </c>
      <c r="E56" s="21">
        <v>3</v>
      </c>
      <c r="F56" s="21" t="s">
        <v>150</v>
      </c>
      <c r="G56" s="21" t="s">
        <v>239</v>
      </c>
      <c r="H56" s="21"/>
      <c r="I56" s="21"/>
      <c r="J56" s="21">
        <v>321.3</v>
      </c>
      <c r="K56" s="21">
        <v>963.90000000000009</v>
      </c>
    </row>
    <row r="57" spans="1:11" x14ac:dyDescent="0.25">
      <c r="A57" s="23">
        <v>46205</v>
      </c>
      <c r="B57" s="21" t="s">
        <v>43</v>
      </c>
      <c r="C57" s="21" t="s">
        <v>258</v>
      </c>
      <c r="D57" s="21">
        <v>1</v>
      </c>
      <c r="E57" s="21">
        <v>1</v>
      </c>
      <c r="F57" s="21" t="s">
        <v>150</v>
      </c>
      <c r="G57" s="21" t="s">
        <v>256</v>
      </c>
      <c r="H57" s="21"/>
      <c r="I57" s="21" t="s">
        <v>219</v>
      </c>
      <c r="J57" s="21">
        <v>40</v>
      </c>
      <c r="K57" s="21">
        <v>40</v>
      </c>
    </row>
    <row r="58" spans="1:11" x14ac:dyDescent="0.25">
      <c r="A58" s="23">
        <v>46205</v>
      </c>
      <c r="B58" s="21" t="s">
        <v>43</v>
      </c>
      <c r="C58" s="21" t="s">
        <v>258</v>
      </c>
      <c r="D58" s="21">
        <v>2</v>
      </c>
      <c r="E58" s="21">
        <v>1</v>
      </c>
      <c r="F58" s="21" t="s">
        <v>150</v>
      </c>
      <c r="G58" s="21" t="s">
        <v>257</v>
      </c>
      <c r="H58" s="21"/>
      <c r="I58" s="21" t="s">
        <v>219</v>
      </c>
      <c r="J58" s="21">
        <v>22</v>
      </c>
      <c r="K58" s="21">
        <v>22</v>
      </c>
    </row>
    <row r="59" spans="1:11" x14ac:dyDescent="0.25">
      <c r="A59" s="23">
        <v>46205</v>
      </c>
      <c r="B59" s="21" t="s">
        <v>43</v>
      </c>
      <c r="C59" s="21" t="s">
        <v>259</v>
      </c>
      <c r="D59" s="21">
        <v>1</v>
      </c>
      <c r="E59" s="21">
        <v>2</v>
      </c>
      <c r="F59" s="21" t="s">
        <v>150</v>
      </c>
      <c r="G59" s="21" t="s">
        <v>260</v>
      </c>
      <c r="H59" s="21"/>
      <c r="I59" s="21" t="s">
        <v>219</v>
      </c>
      <c r="J59" s="21">
        <v>128.15</v>
      </c>
      <c r="K59" s="21">
        <v>256.3</v>
      </c>
    </row>
    <row r="60" spans="1:11" x14ac:dyDescent="0.25">
      <c r="A60" s="23">
        <v>46205</v>
      </c>
      <c r="B60" s="21" t="s">
        <v>43</v>
      </c>
      <c r="C60" s="21" t="s">
        <v>259</v>
      </c>
      <c r="D60" s="21">
        <v>2</v>
      </c>
      <c r="E60" s="21">
        <v>16</v>
      </c>
      <c r="F60" s="21" t="s">
        <v>150</v>
      </c>
      <c r="G60" s="21" t="s">
        <v>261</v>
      </c>
      <c r="H60" s="21"/>
      <c r="I60" s="21" t="s">
        <v>219</v>
      </c>
      <c r="J60" s="21">
        <v>22</v>
      </c>
      <c r="K60" s="21">
        <v>352</v>
      </c>
    </row>
    <row r="61" spans="1:11" x14ac:dyDescent="0.25">
      <c r="A61" s="23">
        <v>46205</v>
      </c>
      <c r="B61" s="21" t="s">
        <v>43</v>
      </c>
      <c r="C61" s="21" t="s">
        <v>259</v>
      </c>
      <c r="D61" s="21">
        <v>3</v>
      </c>
      <c r="E61" s="21">
        <v>16</v>
      </c>
      <c r="F61" s="21" t="s">
        <v>45</v>
      </c>
      <c r="G61" s="21" t="s">
        <v>262</v>
      </c>
      <c r="H61" s="21"/>
      <c r="I61" s="21" t="s">
        <v>219</v>
      </c>
      <c r="J61" s="21">
        <v>3</v>
      </c>
      <c r="K61" s="21">
        <v>48</v>
      </c>
    </row>
    <row r="62" spans="1:11" x14ac:dyDescent="0.25">
      <c r="A62" s="23">
        <v>46219</v>
      </c>
      <c r="B62" s="21" t="s">
        <v>161</v>
      </c>
      <c r="C62" s="21" t="s">
        <v>243</v>
      </c>
      <c r="D62" s="21">
        <v>1</v>
      </c>
      <c r="E62" s="21">
        <v>1</v>
      </c>
      <c r="F62" s="21" t="s">
        <v>310</v>
      </c>
      <c r="G62" s="21" t="s">
        <v>312</v>
      </c>
      <c r="H62" s="21"/>
      <c r="I62" s="21" t="s">
        <v>238</v>
      </c>
      <c r="J62" s="21">
        <v>1203.06</v>
      </c>
      <c r="K62" s="21">
        <v>1203.06</v>
      </c>
    </row>
    <row r="63" spans="1:11" x14ac:dyDescent="0.25">
      <c r="A63" s="23">
        <v>46219</v>
      </c>
      <c r="B63" s="21" t="s">
        <v>161</v>
      </c>
      <c r="C63" s="21" t="s">
        <v>243</v>
      </c>
      <c r="D63" s="21">
        <v>2</v>
      </c>
      <c r="E63" s="21">
        <v>1</v>
      </c>
      <c r="F63" s="21" t="s">
        <v>310</v>
      </c>
      <c r="G63" s="21" t="s">
        <v>313</v>
      </c>
      <c r="H63" s="21"/>
      <c r="I63" s="21" t="s">
        <v>238</v>
      </c>
      <c r="J63" s="21">
        <v>187.54</v>
      </c>
      <c r="K63" s="21">
        <v>187.54</v>
      </c>
    </row>
    <row r="64" spans="1:11" x14ac:dyDescent="0.25">
      <c r="A64" s="23">
        <v>46219</v>
      </c>
      <c r="B64" s="21" t="s">
        <v>161</v>
      </c>
      <c r="C64" s="21" t="s">
        <v>314</v>
      </c>
      <c r="D64" s="21">
        <v>1</v>
      </c>
      <c r="E64" s="21">
        <v>7</v>
      </c>
      <c r="F64" s="21" t="s">
        <v>45</v>
      </c>
      <c r="G64" s="21" t="s">
        <v>315</v>
      </c>
      <c r="H64" s="21"/>
      <c r="I64" s="21" t="s">
        <v>238</v>
      </c>
      <c r="J64" s="21">
        <v>90</v>
      </c>
      <c r="K64" s="21">
        <v>630</v>
      </c>
    </row>
    <row r="65" spans="1:11" x14ac:dyDescent="0.25">
      <c r="A65" s="23">
        <v>46219</v>
      </c>
      <c r="B65" s="21" t="s">
        <v>43</v>
      </c>
      <c r="C65" s="21" t="s">
        <v>205</v>
      </c>
      <c r="D65" s="21">
        <v>1</v>
      </c>
      <c r="E65" s="21">
        <v>20</v>
      </c>
      <c r="F65" s="21" t="s">
        <v>45</v>
      </c>
      <c r="G65" s="21" t="s">
        <v>316</v>
      </c>
      <c r="H65" s="21"/>
      <c r="I65" s="21" t="s">
        <v>280</v>
      </c>
      <c r="J65" s="21">
        <v>14.36</v>
      </c>
      <c r="K65" s="21">
        <v>287.2</v>
      </c>
    </row>
    <row r="66" spans="1:11" x14ac:dyDescent="0.25">
      <c r="A66" s="23">
        <v>46219</v>
      </c>
      <c r="B66" s="21" t="s">
        <v>43</v>
      </c>
      <c r="C66" s="21" t="s">
        <v>205</v>
      </c>
      <c r="D66" s="21">
        <v>2</v>
      </c>
      <c r="E66" s="21">
        <v>4</v>
      </c>
      <c r="F66" s="21" t="s">
        <v>45</v>
      </c>
      <c r="G66" s="21" t="s">
        <v>317</v>
      </c>
      <c r="H66" s="21"/>
      <c r="I66" s="21" t="s">
        <v>219</v>
      </c>
      <c r="J66" s="21">
        <v>114.86</v>
      </c>
      <c r="K66" s="21">
        <v>459.44</v>
      </c>
    </row>
    <row r="67" spans="1:11" x14ac:dyDescent="0.25">
      <c r="A67" s="23">
        <v>46206</v>
      </c>
      <c r="B67" s="21" t="s">
        <v>43</v>
      </c>
      <c r="C67" s="21" t="s">
        <v>193</v>
      </c>
      <c r="D67" s="21">
        <v>1</v>
      </c>
      <c r="E67" s="21">
        <v>1</v>
      </c>
      <c r="F67" s="21" t="s">
        <v>230</v>
      </c>
      <c r="G67" s="21" t="s">
        <v>338</v>
      </c>
      <c r="H67" s="21"/>
      <c r="I67" s="21" t="s">
        <v>341</v>
      </c>
      <c r="J67" s="21">
        <v>509.52</v>
      </c>
      <c r="K67" s="21">
        <v>509.52</v>
      </c>
    </row>
    <row r="68" spans="1:11" x14ac:dyDescent="0.25">
      <c r="A68" s="23">
        <v>46206</v>
      </c>
      <c r="B68" s="21" t="s">
        <v>43</v>
      </c>
      <c r="C68" s="21" t="s">
        <v>193</v>
      </c>
      <c r="D68" s="21">
        <v>2</v>
      </c>
      <c r="E68" s="21">
        <v>1</v>
      </c>
      <c r="F68" s="21" t="s">
        <v>230</v>
      </c>
      <c r="G68" s="21" t="s">
        <v>339</v>
      </c>
      <c r="H68" s="21"/>
      <c r="I68" s="21" t="s">
        <v>341</v>
      </c>
      <c r="J68" s="21">
        <v>374.94</v>
      </c>
      <c r="K68" s="21">
        <v>374.94</v>
      </c>
    </row>
    <row r="69" spans="1:11" x14ac:dyDescent="0.25">
      <c r="A69" s="23">
        <v>46206</v>
      </c>
      <c r="B69" s="21" t="s">
        <v>43</v>
      </c>
      <c r="C69" s="21" t="s">
        <v>193</v>
      </c>
      <c r="D69" s="21">
        <v>3</v>
      </c>
      <c r="E69" s="21">
        <v>2</v>
      </c>
      <c r="F69" s="21" t="s">
        <v>337</v>
      </c>
      <c r="G69" s="21" t="s">
        <v>340</v>
      </c>
      <c r="H69" s="21"/>
      <c r="I69" s="21"/>
      <c r="J69" s="21">
        <v>1573.2</v>
      </c>
      <c r="K69" s="21">
        <v>3146.4</v>
      </c>
    </row>
    <row r="70" spans="1:11" x14ac:dyDescent="0.25">
      <c r="A70" s="23">
        <v>46205</v>
      </c>
      <c r="B70" s="21" t="s">
        <v>43</v>
      </c>
      <c r="C70" s="21" t="s">
        <v>166</v>
      </c>
      <c r="D70" s="21">
        <v>1</v>
      </c>
      <c r="E70" s="21">
        <v>5</v>
      </c>
      <c r="F70" s="21" t="s">
        <v>65</v>
      </c>
      <c r="G70" s="21" t="s">
        <v>354</v>
      </c>
      <c r="H70" s="21"/>
      <c r="I70" s="21" t="s">
        <v>280</v>
      </c>
      <c r="J70" s="21">
        <v>215</v>
      </c>
      <c r="K70" s="21">
        <v>1075</v>
      </c>
    </row>
    <row r="71" spans="1:11" x14ac:dyDescent="0.25">
      <c r="A71" s="23">
        <v>46205</v>
      </c>
      <c r="B71" s="21" t="s">
        <v>43</v>
      </c>
      <c r="C71" s="21" t="s">
        <v>166</v>
      </c>
      <c r="D71" s="21">
        <v>2</v>
      </c>
      <c r="E71" s="21">
        <v>5</v>
      </c>
      <c r="F71" s="21" t="s">
        <v>65</v>
      </c>
      <c r="G71" s="21" t="s">
        <v>355</v>
      </c>
      <c r="H71" s="21"/>
      <c r="I71" s="21" t="s">
        <v>280</v>
      </c>
      <c r="J71" s="21">
        <v>215</v>
      </c>
      <c r="K71" s="21">
        <v>1075</v>
      </c>
    </row>
    <row r="72" spans="1:11" x14ac:dyDescent="0.25">
      <c r="A72" s="23">
        <v>46205</v>
      </c>
      <c r="B72" s="21" t="s">
        <v>43</v>
      </c>
      <c r="C72" s="21" t="s">
        <v>166</v>
      </c>
      <c r="D72" s="21">
        <v>3</v>
      </c>
      <c r="E72" s="21">
        <v>10</v>
      </c>
      <c r="F72" s="21" t="s">
        <v>45</v>
      </c>
      <c r="G72" s="21" t="s">
        <v>356</v>
      </c>
      <c r="H72" s="21"/>
      <c r="I72" s="21" t="s">
        <v>280</v>
      </c>
      <c r="J72" s="21">
        <v>2</v>
      </c>
      <c r="K72" s="21">
        <v>20</v>
      </c>
    </row>
    <row r="73" spans="1:11" x14ac:dyDescent="0.25">
      <c r="A73" s="23">
        <v>46205</v>
      </c>
      <c r="B73" s="21" t="s">
        <v>43</v>
      </c>
      <c r="C73" s="21" t="s">
        <v>166</v>
      </c>
      <c r="D73" s="21">
        <v>4</v>
      </c>
      <c r="E73" s="21">
        <v>10</v>
      </c>
      <c r="F73" s="21" t="s">
        <v>45</v>
      </c>
      <c r="G73" s="21" t="s">
        <v>357</v>
      </c>
      <c r="H73" s="21"/>
      <c r="I73" s="21" t="s">
        <v>280</v>
      </c>
      <c r="J73" s="21">
        <v>6</v>
      </c>
      <c r="K73" s="21">
        <v>60</v>
      </c>
    </row>
    <row r="74" spans="1:11" x14ac:dyDescent="0.25">
      <c r="A74" s="23">
        <v>46205</v>
      </c>
      <c r="B74" s="21" t="s">
        <v>43</v>
      </c>
      <c r="C74" s="21" t="s">
        <v>166</v>
      </c>
      <c r="D74" s="21">
        <v>5</v>
      </c>
      <c r="E74" s="21">
        <v>5</v>
      </c>
      <c r="F74" s="21" t="s">
        <v>45</v>
      </c>
      <c r="G74" s="21" t="s">
        <v>358</v>
      </c>
      <c r="H74" s="21"/>
      <c r="I74" s="21" t="s">
        <v>280</v>
      </c>
      <c r="J74" s="21">
        <v>3</v>
      </c>
      <c r="K74" s="21">
        <v>15</v>
      </c>
    </row>
    <row r="75" spans="1:11" x14ac:dyDescent="0.25">
      <c r="A75" s="23">
        <v>46205</v>
      </c>
      <c r="B75" s="21" t="s">
        <v>43</v>
      </c>
      <c r="C75" s="21" t="s">
        <v>119</v>
      </c>
      <c r="D75" s="21">
        <v>1</v>
      </c>
      <c r="E75" s="21">
        <v>4</v>
      </c>
      <c r="F75" s="21" t="s">
        <v>45</v>
      </c>
      <c r="G75" s="21" t="s">
        <v>359</v>
      </c>
      <c r="H75" s="21"/>
      <c r="I75" s="21" t="s">
        <v>280</v>
      </c>
      <c r="J75" s="21">
        <v>500.3</v>
      </c>
      <c r="K75" s="21">
        <v>2001.2</v>
      </c>
    </row>
    <row r="76" spans="1:11" x14ac:dyDescent="0.25">
      <c r="A76" s="23">
        <v>46205</v>
      </c>
      <c r="B76" s="21" t="s">
        <v>43</v>
      </c>
      <c r="C76" s="21" t="s">
        <v>119</v>
      </c>
      <c r="D76" s="21">
        <v>1</v>
      </c>
      <c r="E76" s="21">
        <v>5</v>
      </c>
      <c r="F76" s="21" t="s">
        <v>45</v>
      </c>
      <c r="G76" s="21" t="s">
        <v>239</v>
      </c>
      <c r="H76" s="21"/>
      <c r="I76" s="21" t="s">
        <v>280</v>
      </c>
      <c r="J76" s="21">
        <v>372.7</v>
      </c>
      <c r="K76" s="21">
        <v>1863.5</v>
      </c>
    </row>
    <row r="77" spans="1:11" x14ac:dyDescent="0.25">
      <c r="A77" s="23">
        <v>46224</v>
      </c>
      <c r="B77" s="21" t="s">
        <v>43</v>
      </c>
      <c r="C77" s="21" t="s">
        <v>75</v>
      </c>
      <c r="D77" s="21">
        <v>1</v>
      </c>
      <c r="E77" s="21">
        <v>10</v>
      </c>
      <c r="F77" s="21" t="s">
        <v>45</v>
      </c>
      <c r="G77" s="21" t="s">
        <v>360</v>
      </c>
      <c r="H77" s="21"/>
      <c r="I77" s="21" t="s">
        <v>280</v>
      </c>
      <c r="J77" s="21">
        <v>2</v>
      </c>
      <c r="K77" s="21">
        <v>20</v>
      </c>
    </row>
    <row r="78" spans="1:11" x14ac:dyDescent="0.25">
      <c r="A78" s="23">
        <v>46224</v>
      </c>
      <c r="B78" s="21" t="s">
        <v>43</v>
      </c>
      <c r="C78" s="21" t="s">
        <v>75</v>
      </c>
      <c r="D78" s="21">
        <v>2</v>
      </c>
      <c r="E78" s="21">
        <v>5</v>
      </c>
      <c r="F78" s="21" t="s">
        <v>45</v>
      </c>
      <c r="G78" s="21" t="s">
        <v>361</v>
      </c>
      <c r="H78" s="21"/>
      <c r="I78" s="21" t="s">
        <v>280</v>
      </c>
      <c r="J78" s="21">
        <v>55</v>
      </c>
      <c r="K78" s="21">
        <v>275</v>
      </c>
    </row>
    <row r="79" spans="1:11" x14ac:dyDescent="0.25">
      <c r="A79" s="23">
        <v>46205</v>
      </c>
      <c r="B79" s="21" t="s">
        <v>43</v>
      </c>
      <c r="C79" s="21" t="s">
        <v>166</v>
      </c>
      <c r="D79" s="21">
        <v>1</v>
      </c>
      <c r="E79" s="21">
        <v>2</v>
      </c>
      <c r="F79" s="21" t="s">
        <v>65</v>
      </c>
      <c r="G79" s="21" t="s">
        <v>362</v>
      </c>
      <c r="H79" s="21"/>
      <c r="I79" s="21" t="s">
        <v>341</v>
      </c>
      <c r="J79" s="21">
        <v>570.70000000000005</v>
      </c>
      <c r="K79" s="21">
        <v>1141.4000000000001</v>
      </c>
    </row>
    <row r="80" spans="1:11" x14ac:dyDescent="0.25">
      <c r="A80" s="23">
        <v>46205</v>
      </c>
      <c r="B80" s="21" t="s">
        <v>43</v>
      </c>
      <c r="C80" s="21" t="s">
        <v>166</v>
      </c>
      <c r="D80" s="21">
        <v>2</v>
      </c>
      <c r="E80" s="21">
        <v>12</v>
      </c>
      <c r="F80" s="21" t="s">
        <v>65</v>
      </c>
      <c r="G80" s="21" t="s">
        <v>363</v>
      </c>
      <c r="H80" s="21"/>
      <c r="I80" s="21" t="s">
        <v>341</v>
      </c>
      <c r="J80" s="21">
        <v>11.97</v>
      </c>
      <c r="K80" s="21">
        <v>143.64000000000001</v>
      </c>
    </row>
    <row r="81" spans="1:11" x14ac:dyDescent="0.25">
      <c r="A81" s="23">
        <v>46205</v>
      </c>
      <c r="B81" s="21" t="s">
        <v>43</v>
      </c>
      <c r="C81" s="21" t="s">
        <v>166</v>
      </c>
      <c r="D81" s="21">
        <v>3</v>
      </c>
      <c r="E81" s="21">
        <v>1</v>
      </c>
      <c r="F81" s="21" t="s">
        <v>65</v>
      </c>
      <c r="G81" s="21" t="s">
        <v>364</v>
      </c>
      <c r="H81" s="21"/>
      <c r="I81" s="21" t="s">
        <v>341</v>
      </c>
      <c r="J81" s="21">
        <v>623</v>
      </c>
      <c r="K81" s="21">
        <v>623</v>
      </c>
    </row>
    <row r="82" spans="1:11" x14ac:dyDescent="0.25">
      <c r="A82" s="23">
        <v>46205</v>
      </c>
      <c r="B82" s="21" t="s">
        <v>43</v>
      </c>
      <c r="C82" s="21" t="s">
        <v>166</v>
      </c>
      <c r="D82" s="21">
        <v>4</v>
      </c>
      <c r="E82" s="21">
        <v>1</v>
      </c>
      <c r="F82" s="21" t="s">
        <v>65</v>
      </c>
      <c r="G82" s="21" t="s">
        <v>365</v>
      </c>
      <c r="H82" s="21"/>
      <c r="I82" s="21" t="s">
        <v>341</v>
      </c>
      <c r="J82" s="21">
        <v>67.67</v>
      </c>
      <c r="K82" s="21">
        <v>67.67</v>
      </c>
    </row>
    <row r="83" spans="1:11" x14ac:dyDescent="0.25">
      <c r="A83" s="29">
        <v>46205</v>
      </c>
      <c r="B83" t="s">
        <v>43</v>
      </c>
      <c r="C83" t="s">
        <v>166</v>
      </c>
      <c r="D83">
        <v>5</v>
      </c>
      <c r="E83">
        <v>1</v>
      </c>
      <c r="F83" t="s">
        <v>65</v>
      </c>
      <c r="G83" t="s">
        <v>366</v>
      </c>
      <c r="I83" t="s">
        <v>341</v>
      </c>
      <c r="J83">
        <v>129.71</v>
      </c>
      <c r="K83">
        <v>129.71</v>
      </c>
    </row>
    <row r="84" spans="1:11" x14ac:dyDescent="0.25">
      <c r="A84" s="29">
        <v>46247</v>
      </c>
      <c r="B84" t="s">
        <v>43</v>
      </c>
      <c r="C84" t="s">
        <v>240</v>
      </c>
      <c r="D84">
        <v>1</v>
      </c>
      <c r="E84">
        <v>8</v>
      </c>
      <c r="F84" t="s">
        <v>45</v>
      </c>
      <c r="G84" t="s">
        <v>367</v>
      </c>
      <c r="H84" t="s">
        <v>368</v>
      </c>
      <c r="I84" t="s">
        <v>198</v>
      </c>
      <c r="J84">
        <v>123.42</v>
      </c>
      <c r="K84">
        <v>987.36</v>
      </c>
    </row>
    <row r="85" spans="1:11" x14ac:dyDescent="0.25">
      <c r="A85" s="29">
        <v>46247</v>
      </c>
      <c r="B85" t="s">
        <v>43</v>
      </c>
      <c r="C85" t="s">
        <v>119</v>
      </c>
      <c r="D85">
        <v>1</v>
      </c>
      <c r="E85">
        <v>20</v>
      </c>
      <c r="F85" t="s">
        <v>45</v>
      </c>
      <c r="G85" t="s">
        <v>369</v>
      </c>
      <c r="I85" t="s">
        <v>370</v>
      </c>
      <c r="J85">
        <v>22.41</v>
      </c>
      <c r="K85">
        <v>448.2</v>
      </c>
    </row>
    <row r="86" spans="1:11" x14ac:dyDescent="0.25">
      <c r="A86" s="29">
        <v>46247</v>
      </c>
      <c r="B86" t="s">
        <v>43</v>
      </c>
      <c r="C86" t="s">
        <v>119</v>
      </c>
      <c r="D86">
        <v>2</v>
      </c>
      <c r="E86">
        <v>1</v>
      </c>
      <c r="F86" t="s">
        <v>45</v>
      </c>
      <c r="G86" t="s">
        <v>371</v>
      </c>
      <c r="I86" t="s">
        <v>370</v>
      </c>
      <c r="J86">
        <v>3502</v>
      </c>
      <c r="K86">
        <v>3502</v>
      </c>
    </row>
    <row r="87" spans="1:11" x14ac:dyDescent="0.25">
      <c r="A87" s="29">
        <v>46247</v>
      </c>
      <c r="B87" t="s">
        <v>43</v>
      </c>
      <c r="C87" t="s">
        <v>240</v>
      </c>
      <c r="D87">
        <v>1</v>
      </c>
      <c r="E87">
        <v>32</v>
      </c>
      <c r="F87" t="s">
        <v>45</v>
      </c>
      <c r="G87" t="s">
        <v>372</v>
      </c>
      <c r="I87" t="s">
        <v>198</v>
      </c>
      <c r="J87">
        <v>1765.4</v>
      </c>
      <c r="K87">
        <v>56492.800000000003</v>
      </c>
    </row>
  </sheetData>
  <sortState xmlns:xlrd2="http://schemas.microsoft.com/office/spreadsheetml/2017/richdata2" ref="A6:K82">
    <sortCondition ref="A6:A82"/>
  </sortState>
  <mergeCells count="1">
    <mergeCell ref="A3:C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61"/>
  <sheetViews>
    <sheetView topLeftCell="A19" zoomScaleNormal="100" workbookViewId="0">
      <selection activeCell="A36" sqref="A36:XFD36"/>
    </sheetView>
  </sheetViews>
  <sheetFormatPr baseColWidth="10" defaultColWidth="9.140625" defaultRowHeight="15" x14ac:dyDescent="0.25"/>
  <cols>
    <col min="1" max="1" width="13" customWidth="1"/>
    <col min="2" max="2" width="15" customWidth="1"/>
    <col min="3" max="3" width="22" customWidth="1"/>
    <col min="4" max="4" width="17" customWidth="1"/>
    <col min="5" max="5" width="13.5703125" customWidth="1"/>
    <col min="6" max="6" width="26.85546875" customWidth="1"/>
    <col min="7" max="7" width="25" customWidth="1"/>
    <col min="8" max="8" width="38.140625" customWidth="1"/>
    <col min="9" max="9" width="25" customWidth="1"/>
    <col min="10" max="10" width="20.5703125" bestFit="1" customWidth="1"/>
    <col min="11" max="11" width="15" customWidth="1"/>
  </cols>
  <sheetData>
    <row r="1" spans="1:11" ht="20.25" x14ac:dyDescent="0.35">
      <c r="A1" s="16" t="s">
        <v>26</v>
      </c>
    </row>
    <row r="3" spans="1:11" ht="17.25" x14ac:dyDescent="0.3">
      <c r="A3" s="4" t="s">
        <v>24</v>
      </c>
      <c r="D3" s="17">
        <f>SUMIF(Historial_Compras!B:B, "Aranzazú", Historial_Compras!K:K)</f>
        <v>92879.040000000008</v>
      </c>
    </row>
    <row r="5" spans="1:11" ht="24" customHeight="1" x14ac:dyDescent="0.25">
      <c r="A5" s="19" t="s">
        <v>18</v>
      </c>
      <c r="B5" s="19" t="s">
        <v>19</v>
      </c>
      <c r="C5" s="19" t="s">
        <v>20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21</v>
      </c>
      <c r="I5" s="19" t="s">
        <v>22</v>
      </c>
      <c r="J5" s="19" t="s">
        <v>11</v>
      </c>
      <c r="K5" s="19" t="s">
        <v>12</v>
      </c>
    </row>
    <row r="6" spans="1:11" x14ac:dyDescent="0.25">
      <c r="A6" s="23">
        <v>46183</v>
      </c>
      <c r="B6" s="21" t="s">
        <v>98</v>
      </c>
      <c r="C6" s="21" t="s">
        <v>84</v>
      </c>
      <c r="D6" s="21">
        <v>1</v>
      </c>
      <c r="E6" s="21">
        <v>1</v>
      </c>
      <c r="F6" s="21" t="s">
        <v>87</v>
      </c>
      <c r="G6" s="21" t="s">
        <v>85</v>
      </c>
      <c r="H6" s="21" t="s">
        <v>86</v>
      </c>
      <c r="I6" s="21"/>
      <c r="J6" s="26">
        <v>3060</v>
      </c>
      <c r="K6" s="26">
        <v>3060</v>
      </c>
    </row>
    <row r="7" spans="1:11" x14ac:dyDescent="0.25">
      <c r="A7" s="23">
        <v>46183</v>
      </c>
      <c r="B7" s="21" t="s">
        <v>98</v>
      </c>
      <c r="C7" s="21" t="s">
        <v>84</v>
      </c>
      <c r="D7" s="21">
        <v>2</v>
      </c>
      <c r="E7" s="21">
        <v>1</v>
      </c>
      <c r="F7" s="21" t="s">
        <v>88</v>
      </c>
      <c r="G7" s="21" t="s">
        <v>89</v>
      </c>
      <c r="H7" s="21" t="s">
        <v>90</v>
      </c>
      <c r="I7" s="21"/>
      <c r="J7" s="26">
        <v>1122.53</v>
      </c>
      <c r="K7" s="26">
        <v>1122.53</v>
      </c>
    </row>
    <row r="8" spans="1:11" x14ac:dyDescent="0.25">
      <c r="A8" s="23">
        <v>46183</v>
      </c>
      <c r="B8" s="21" t="s">
        <v>98</v>
      </c>
      <c r="C8" s="21" t="s">
        <v>84</v>
      </c>
      <c r="D8" s="21">
        <v>3</v>
      </c>
      <c r="E8" s="21">
        <v>1</v>
      </c>
      <c r="F8" s="21" t="s">
        <v>88</v>
      </c>
      <c r="G8" s="21" t="s">
        <v>91</v>
      </c>
      <c r="H8" s="21"/>
      <c r="I8" s="21"/>
      <c r="J8" s="26">
        <v>1263.54</v>
      </c>
      <c r="K8" s="26">
        <v>1263.54</v>
      </c>
    </row>
    <row r="9" spans="1:11" x14ac:dyDescent="0.25">
      <c r="A9" s="23">
        <v>46183</v>
      </c>
      <c r="B9" s="21" t="s">
        <v>98</v>
      </c>
      <c r="C9" s="21" t="s">
        <v>84</v>
      </c>
      <c r="D9" s="21">
        <v>4</v>
      </c>
      <c r="E9" s="21">
        <v>5</v>
      </c>
      <c r="F9" s="21" t="s">
        <v>92</v>
      </c>
      <c r="G9" s="21" t="s">
        <v>93</v>
      </c>
      <c r="H9" s="21" t="s">
        <v>94</v>
      </c>
      <c r="I9" s="21"/>
      <c r="J9" s="26">
        <v>518</v>
      </c>
      <c r="K9" s="26">
        <v>2590</v>
      </c>
    </row>
    <row r="10" spans="1:11" x14ac:dyDescent="0.25">
      <c r="A10" s="23">
        <v>46183</v>
      </c>
      <c r="B10" s="21" t="s">
        <v>98</v>
      </c>
      <c r="C10" s="21" t="s">
        <v>84</v>
      </c>
      <c r="D10" s="21">
        <v>5</v>
      </c>
      <c r="E10" s="21">
        <v>6</v>
      </c>
      <c r="F10" s="21" t="s">
        <v>95</v>
      </c>
      <c r="G10" s="21" t="s">
        <v>96</v>
      </c>
      <c r="H10" s="21" t="s">
        <v>97</v>
      </c>
      <c r="I10" s="21"/>
      <c r="J10" s="26">
        <v>864.29</v>
      </c>
      <c r="K10" s="26">
        <v>5185.74</v>
      </c>
    </row>
    <row r="11" spans="1:11" x14ac:dyDescent="0.25">
      <c r="A11" s="23">
        <v>46190</v>
      </c>
      <c r="B11" s="21" t="s">
        <v>98</v>
      </c>
      <c r="C11" s="21" t="s">
        <v>99</v>
      </c>
      <c r="D11" s="21">
        <v>1</v>
      </c>
      <c r="E11" s="21">
        <v>3</v>
      </c>
      <c r="F11" s="21" t="s">
        <v>45</v>
      </c>
      <c r="G11" s="21" t="s">
        <v>100</v>
      </c>
      <c r="H11" s="21"/>
      <c r="I11" s="21"/>
      <c r="J11" s="26">
        <v>125</v>
      </c>
      <c r="K11" s="26">
        <v>375</v>
      </c>
    </row>
    <row r="12" spans="1:11" x14ac:dyDescent="0.25">
      <c r="A12" s="23">
        <v>46190</v>
      </c>
      <c r="B12" s="21" t="s">
        <v>98</v>
      </c>
      <c r="C12" s="21" t="s">
        <v>99</v>
      </c>
      <c r="D12" s="21">
        <v>2</v>
      </c>
      <c r="E12" s="21">
        <v>2</v>
      </c>
      <c r="F12" s="21" t="s">
        <v>101</v>
      </c>
      <c r="G12" s="21" t="s">
        <v>102</v>
      </c>
      <c r="H12" s="21"/>
      <c r="I12" s="21"/>
      <c r="J12" s="26">
        <v>340</v>
      </c>
      <c r="K12" s="26">
        <v>680</v>
      </c>
    </row>
    <row r="13" spans="1:11" x14ac:dyDescent="0.25">
      <c r="A13" s="23">
        <v>46190</v>
      </c>
      <c r="B13" s="21" t="s">
        <v>98</v>
      </c>
      <c r="C13" s="21" t="s">
        <v>99</v>
      </c>
      <c r="D13" s="21">
        <v>3</v>
      </c>
      <c r="E13" s="21">
        <v>2</v>
      </c>
      <c r="F13" s="21" t="s">
        <v>45</v>
      </c>
      <c r="G13" s="21" t="s">
        <v>103</v>
      </c>
      <c r="H13" s="21"/>
      <c r="I13" s="21"/>
      <c r="J13" s="26">
        <v>98</v>
      </c>
      <c r="K13" s="26">
        <v>196</v>
      </c>
    </row>
    <row r="14" spans="1:11" x14ac:dyDescent="0.25">
      <c r="A14" s="23">
        <v>46190</v>
      </c>
      <c r="B14" s="21" t="s">
        <v>98</v>
      </c>
      <c r="C14" s="21" t="s">
        <v>99</v>
      </c>
      <c r="D14" s="21">
        <v>4</v>
      </c>
      <c r="E14" s="21">
        <v>2</v>
      </c>
      <c r="F14" s="21" t="s">
        <v>45</v>
      </c>
      <c r="G14" s="21" t="s">
        <v>104</v>
      </c>
      <c r="H14" s="21"/>
      <c r="I14" s="21"/>
      <c r="J14" s="26">
        <v>45</v>
      </c>
      <c r="K14" s="26">
        <v>90</v>
      </c>
    </row>
    <row r="15" spans="1:11" x14ac:dyDescent="0.25">
      <c r="A15" s="23">
        <v>46190</v>
      </c>
      <c r="B15" s="21" t="s">
        <v>98</v>
      </c>
      <c r="C15" s="21" t="s">
        <v>108</v>
      </c>
      <c r="D15" s="21">
        <v>1</v>
      </c>
      <c r="E15" s="21">
        <v>5</v>
      </c>
      <c r="F15" s="21" t="s">
        <v>45</v>
      </c>
      <c r="G15" s="21" t="s">
        <v>105</v>
      </c>
      <c r="H15" s="21"/>
      <c r="I15" s="21"/>
      <c r="J15" s="26">
        <v>70.599999999999994</v>
      </c>
      <c r="K15" s="26">
        <v>353</v>
      </c>
    </row>
    <row r="16" spans="1:11" x14ac:dyDescent="0.25">
      <c r="A16" s="23">
        <v>46190</v>
      </c>
      <c r="B16" s="21" t="s">
        <v>98</v>
      </c>
      <c r="C16" s="21" t="s">
        <v>108</v>
      </c>
      <c r="D16" s="21">
        <v>2</v>
      </c>
      <c r="E16" s="21">
        <v>7</v>
      </c>
      <c r="F16" s="21" t="s">
        <v>45</v>
      </c>
      <c r="G16" s="21" t="s">
        <v>106</v>
      </c>
      <c r="H16" s="21"/>
      <c r="I16" s="21"/>
      <c r="J16" s="26">
        <v>88.17</v>
      </c>
      <c r="K16" s="26">
        <v>617.19000000000005</v>
      </c>
    </row>
    <row r="17" spans="1:11" x14ac:dyDescent="0.25">
      <c r="A17" s="23">
        <v>46190</v>
      </c>
      <c r="B17" s="21" t="s">
        <v>98</v>
      </c>
      <c r="C17" s="21" t="s">
        <v>108</v>
      </c>
      <c r="D17" s="21">
        <v>3</v>
      </c>
      <c r="E17" s="21">
        <v>3</v>
      </c>
      <c r="F17" s="21" t="s">
        <v>45</v>
      </c>
      <c r="G17" s="21" t="s">
        <v>107</v>
      </c>
      <c r="H17" s="21"/>
      <c r="I17" s="21"/>
      <c r="J17" s="26">
        <v>29.49</v>
      </c>
      <c r="K17" s="26">
        <v>88.47</v>
      </c>
    </row>
    <row r="18" spans="1:11" x14ac:dyDescent="0.25">
      <c r="A18" s="23">
        <v>46195</v>
      </c>
      <c r="B18" s="21" t="s">
        <v>98</v>
      </c>
      <c r="C18" s="21" t="s">
        <v>135</v>
      </c>
      <c r="D18" s="21">
        <v>1</v>
      </c>
      <c r="E18" s="21">
        <v>1</v>
      </c>
      <c r="F18" s="21" t="s">
        <v>132</v>
      </c>
      <c r="G18" s="21" t="s">
        <v>133</v>
      </c>
      <c r="H18" s="21"/>
      <c r="I18" s="21" t="s">
        <v>134</v>
      </c>
      <c r="J18" s="26">
        <v>7493.4</v>
      </c>
      <c r="K18" s="26">
        <v>7493.4</v>
      </c>
    </row>
    <row r="19" spans="1:11" x14ac:dyDescent="0.25">
      <c r="A19" s="23">
        <v>46195</v>
      </c>
      <c r="B19" s="21" t="s">
        <v>98</v>
      </c>
      <c r="C19" s="21" t="s">
        <v>300</v>
      </c>
      <c r="D19" s="21">
        <v>1</v>
      </c>
      <c r="E19" s="21">
        <v>1</v>
      </c>
      <c r="F19" s="21" t="s">
        <v>150</v>
      </c>
      <c r="G19" s="21" t="s">
        <v>301</v>
      </c>
      <c r="H19" s="21"/>
      <c r="I19" s="21" t="s">
        <v>302</v>
      </c>
      <c r="J19" s="26">
        <v>7493.4</v>
      </c>
      <c r="K19" s="26">
        <v>7493.4</v>
      </c>
    </row>
    <row r="20" spans="1:11" x14ac:dyDescent="0.25">
      <c r="A20" s="23">
        <v>46197</v>
      </c>
      <c r="B20" s="21" t="s">
        <v>98</v>
      </c>
      <c r="C20" s="21" t="s">
        <v>205</v>
      </c>
      <c r="D20" s="21">
        <v>1</v>
      </c>
      <c r="E20" s="21">
        <v>36</v>
      </c>
      <c r="F20" s="21" t="s">
        <v>150</v>
      </c>
      <c r="G20" s="21" t="s">
        <v>271</v>
      </c>
      <c r="H20" s="21" t="s">
        <v>277</v>
      </c>
      <c r="I20" s="21" t="s">
        <v>272</v>
      </c>
      <c r="J20" s="26">
        <v>12.27</v>
      </c>
      <c r="K20" s="26">
        <v>441.71999999999997</v>
      </c>
    </row>
    <row r="21" spans="1:11" x14ac:dyDescent="0.25">
      <c r="A21" s="23">
        <v>46197</v>
      </c>
      <c r="B21" s="21" t="s">
        <v>98</v>
      </c>
      <c r="C21" s="21" t="s">
        <v>205</v>
      </c>
      <c r="D21" s="21">
        <v>2</v>
      </c>
      <c r="E21" s="21">
        <v>16</v>
      </c>
      <c r="F21" s="21" t="s">
        <v>150</v>
      </c>
      <c r="G21" s="21" t="s">
        <v>273</v>
      </c>
      <c r="H21" s="21" t="s">
        <v>277</v>
      </c>
      <c r="I21" s="21" t="s">
        <v>272</v>
      </c>
      <c r="J21" s="26">
        <v>48.4</v>
      </c>
      <c r="K21" s="26">
        <v>774.4</v>
      </c>
    </row>
    <row r="22" spans="1:11" x14ac:dyDescent="0.25">
      <c r="A22" s="23">
        <v>46197</v>
      </c>
      <c r="B22" s="21" t="s">
        <v>98</v>
      </c>
      <c r="C22" s="21" t="s">
        <v>205</v>
      </c>
      <c r="D22" s="21">
        <v>3</v>
      </c>
      <c r="E22" s="21">
        <v>24</v>
      </c>
      <c r="F22" s="21" t="s">
        <v>45</v>
      </c>
      <c r="G22" s="21" t="s">
        <v>274</v>
      </c>
      <c r="H22" s="21" t="s">
        <v>277</v>
      </c>
      <c r="I22" s="21" t="s">
        <v>272</v>
      </c>
      <c r="J22" s="26">
        <v>13.67</v>
      </c>
      <c r="K22" s="26">
        <v>328.08</v>
      </c>
    </row>
    <row r="23" spans="1:11" x14ac:dyDescent="0.25">
      <c r="A23" s="23">
        <v>46197</v>
      </c>
      <c r="B23" s="21" t="s">
        <v>98</v>
      </c>
      <c r="C23" s="21" t="s">
        <v>205</v>
      </c>
      <c r="D23" s="21">
        <v>4</v>
      </c>
      <c r="E23" s="21">
        <v>8</v>
      </c>
      <c r="F23" s="21" t="s">
        <v>45</v>
      </c>
      <c r="G23" s="21" t="s">
        <v>275</v>
      </c>
      <c r="H23" s="21" t="s">
        <v>277</v>
      </c>
      <c r="I23" s="21" t="s">
        <v>272</v>
      </c>
      <c r="J23" s="26">
        <v>261.26</v>
      </c>
      <c r="K23" s="26">
        <v>2090.08</v>
      </c>
    </row>
    <row r="24" spans="1:11" x14ac:dyDescent="0.25">
      <c r="A24" s="23">
        <v>46197</v>
      </c>
      <c r="B24" s="21" t="s">
        <v>98</v>
      </c>
      <c r="C24" s="21" t="s">
        <v>205</v>
      </c>
      <c r="D24" s="21">
        <v>5</v>
      </c>
      <c r="E24" s="21">
        <v>5</v>
      </c>
      <c r="F24" s="21" t="s">
        <v>45</v>
      </c>
      <c r="G24" s="21" t="s">
        <v>276</v>
      </c>
      <c r="H24" s="21" t="s">
        <v>277</v>
      </c>
      <c r="I24" s="21" t="s">
        <v>272</v>
      </c>
      <c r="J24" s="26">
        <v>76.48</v>
      </c>
      <c r="K24" s="26">
        <v>382.40000000000003</v>
      </c>
    </row>
    <row r="25" spans="1:11" x14ac:dyDescent="0.25">
      <c r="A25" s="23">
        <v>46197</v>
      </c>
      <c r="B25" s="21" t="s">
        <v>98</v>
      </c>
      <c r="C25" s="21" t="s">
        <v>205</v>
      </c>
      <c r="D25" s="21">
        <v>6</v>
      </c>
      <c r="E25" s="21">
        <v>6</v>
      </c>
      <c r="F25" s="21" t="s">
        <v>45</v>
      </c>
      <c r="G25" s="21" t="s">
        <v>278</v>
      </c>
      <c r="H25" s="21"/>
      <c r="I25" s="21" t="s">
        <v>272</v>
      </c>
      <c r="J25" s="26">
        <v>128.58000000000001</v>
      </c>
      <c r="K25" s="26">
        <v>771.48</v>
      </c>
    </row>
    <row r="26" spans="1:11" x14ac:dyDescent="0.25">
      <c r="A26" s="23">
        <v>46197</v>
      </c>
      <c r="B26" s="21" t="s">
        <v>98</v>
      </c>
      <c r="C26" s="21" t="s">
        <v>248</v>
      </c>
      <c r="D26" s="21">
        <v>1</v>
      </c>
      <c r="E26" s="21">
        <v>50</v>
      </c>
      <c r="F26" s="21" t="s">
        <v>65</v>
      </c>
      <c r="G26" s="21" t="s">
        <v>283</v>
      </c>
      <c r="H26" s="21"/>
      <c r="I26" s="21" t="s">
        <v>285</v>
      </c>
      <c r="J26" s="26">
        <v>40</v>
      </c>
      <c r="K26" s="26">
        <v>2000</v>
      </c>
    </row>
    <row r="27" spans="1:11" x14ac:dyDescent="0.25">
      <c r="A27" s="23">
        <v>46197</v>
      </c>
      <c r="B27" s="21" t="s">
        <v>98</v>
      </c>
      <c r="C27" s="21" t="s">
        <v>248</v>
      </c>
      <c r="D27" s="21">
        <v>2</v>
      </c>
      <c r="E27" s="21">
        <v>30</v>
      </c>
      <c r="F27" s="21" t="s">
        <v>65</v>
      </c>
      <c r="G27" s="21" t="s">
        <v>284</v>
      </c>
      <c r="H27" s="21"/>
      <c r="I27" s="21" t="s">
        <v>285</v>
      </c>
      <c r="J27" s="26">
        <v>45</v>
      </c>
      <c r="K27" s="26">
        <v>1350</v>
      </c>
    </row>
    <row r="28" spans="1:11" x14ac:dyDescent="0.25">
      <c r="A28" s="23">
        <v>46198</v>
      </c>
      <c r="B28" s="21" t="s">
        <v>98</v>
      </c>
      <c r="C28" s="21" t="s">
        <v>289</v>
      </c>
      <c r="D28" s="21">
        <v>1</v>
      </c>
      <c r="E28" s="21">
        <v>20</v>
      </c>
      <c r="F28" s="21" t="s">
        <v>45</v>
      </c>
      <c r="G28" s="21" t="s">
        <v>290</v>
      </c>
      <c r="H28" s="21"/>
      <c r="I28" s="21" t="s">
        <v>272</v>
      </c>
      <c r="J28" s="26">
        <v>6.47</v>
      </c>
      <c r="K28" s="26">
        <v>129.4</v>
      </c>
    </row>
    <row r="29" spans="1:11" x14ac:dyDescent="0.25">
      <c r="A29" s="23">
        <v>46198</v>
      </c>
      <c r="B29" s="21" t="s">
        <v>98</v>
      </c>
      <c r="C29" s="21" t="s">
        <v>289</v>
      </c>
      <c r="D29" s="21">
        <v>2</v>
      </c>
      <c r="E29" s="21">
        <v>10</v>
      </c>
      <c r="F29" s="21" t="s">
        <v>45</v>
      </c>
      <c r="G29" s="21" t="s">
        <v>291</v>
      </c>
      <c r="H29" s="21"/>
      <c r="I29" s="21" t="s">
        <v>272</v>
      </c>
      <c r="J29" s="26">
        <v>4</v>
      </c>
      <c r="K29" s="26">
        <v>40</v>
      </c>
    </row>
    <row r="30" spans="1:11" x14ac:dyDescent="0.25">
      <c r="A30" s="23">
        <v>46202</v>
      </c>
      <c r="B30" s="21" t="s">
        <v>229</v>
      </c>
      <c r="C30" s="21" t="s">
        <v>225</v>
      </c>
      <c r="D30" s="21">
        <v>1</v>
      </c>
      <c r="E30" s="21">
        <v>7</v>
      </c>
      <c r="F30" s="21" t="s">
        <v>45</v>
      </c>
      <c r="G30" s="21" t="s">
        <v>226</v>
      </c>
      <c r="H30" s="21"/>
      <c r="I30" s="21" t="s">
        <v>228</v>
      </c>
      <c r="J30" s="26">
        <v>2002.28</v>
      </c>
      <c r="K30" s="26">
        <v>14015.96</v>
      </c>
    </row>
    <row r="31" spans="1:11" x14ac:dyDescent="0.25">
      <c r="A31" s="23">
        <v>46202</v>
      </c>
      <c r="B31" s="21" t="s">
        <v>229</v>
      </c>
      <c r="C31" s="21" t="s">
        <v>225</v>
      </c>
      <c r="D31" s="21">
        <v>2</v>
      </c>
      <c r="E31" s="21">
        <v>9</v>
      </c>
      <c r="F31" s="21" t="s">
        <v>45</v>
      </c>
      <c r="G31" s="21" t="s">
        <v>227</v>
      </c>
      <c r="H31" s="21"/>
      <c r="I31" s="21" t="s">
        <v>228</v>
      </c>
      <c r="J31" s="26">
        <v>1396.73</v>
      </c>
      <c r="K31" s="26">
        <v>12570.57</v>
      </c>
    </row>
    <row r="32" spans="1:11" x14ac:dyDescent="0.25">
      <c r="A32" s="23">
        <v>46202</v>
      </c>
      <c r="B32" s="21" t="s">
        <v>229</v>
      </c>
      <c r="C32" s="21" t="s">
        <v>193</v>
      </c>
      <c r="D32" s="21">
        <v>1</v>
      </c>
      <c r="E32" s="21">
        <v>1</v>
      </c>
      <c r="F32" s="21" t="s">
        <v>230</v>
      </c>
      <c r="G32" s="21" t="s">
        <v>231</v>
      </c>
      <c r="H32" s="21"/>
      <c r="I32" s="21" t="s">
        <v>228</v>
      </c>
      <c r="J32" s="26">
        <v>10807.28</v>
      </c>
      <c r="K32" s="26">
        <v>10807.28</v>
      </c>
    </row>
    <row r="33" spans="1:11" x14ac:dyDescent="0.25">
      <c r="A33" s="23">
        <v>46205</v>
      </c>
      <c r="B33" s="21" t="s">
        <v>98</v>
      </c>
      <c r="C33" s="21" t="s">
        <v>248</v>
      </c>
      <c r="D33" s="21">
        <v>1</v>
      </c>
      <c r="E33" s="21">
        <v>1</v>
      </c>
      <c r="F33" s="21" t="s">
        <v>150</v>
      </c>
      <c r="G33" s="21" t="s">
        <v>249</v>
      </c>
      <c r="H33" s="21"/>
      <c r="I33" s="21" t="s">
        <v>252</v>
      </c>
      <c r="J33" s="26">
        <v>3200</v>
      </c>
      <c r="K33" s="26">
        <v>3200</v>
      </c>
    </row>
    <row r="34" spans="1:11" x14ac:dyDescent="0.25">
      <c r="A34" s="23">
        <v>46205</v>
      </c>
      <c r="B34" s="21" t="s">
        <v>98</v>
      </c>
      <c r="C34" s="21" t="s">
        <v>248</v>
      </c>
      <c r="D34" s="21">
        <v>2</v>
      </c>
      <c r="E34" s="21">
        <v>1</v>
      </c>
      <c r="F34" s="21" t="s">
        <v>132</v>
      </c>
      <c r="G34" s="21" t="s">
        <v>250</v>
      </c>
      <c r="H34" s="21"/>
      <c r="I34" s="21" t="s">
        <v>252</v>
      </c>
      <c r="J34" s="26">
        <v>1850</v>
      </c>
      <c r="K34" s="26">
        <v>1850</v>
      </c>
    </row>
    <row r="35" spans="1:11" x14ac:dyDescent="0.25">
      <c r="A35" s="23">
        <v>46205</v>
      </c>
      <c r="B35" s="21" t="s">
        <v>98</v>
      </c>
      <c r="C35" s="21" t="s">
        <v>248</v>
      </c>
      <c r="D35" s="21">
        <v>3</v>
      </c>
      <c r="E35" s="21">
        <v>2</v>
      </c>
      <c r="F35" s="21" t="s">
        <v>132</v>
      </c>
      <c r="G35" s="21" t="s">
        <v>251</v>
      </c>
      <c r="H35" s="21"/>
      <c r="I35" s="21" t="s">
        <v>252</v>
      </c>
      <c r="J35" s="26">
        <v>3000</v>
      </c>
      <c r="K35" s="26">
        <v>6000</v>
      </c>
    </row>
    <row r="36" spans="1:11" x14ac:dyDescent="0.25">
      <c r="A36" s="23">
        <v>46219</v>
      </c>
      <c r="B36" s="21" t="s">
        <v>98</v>
      </c>
      <c r="C36" s="21" t="s">
        <v>318</v>
      </c>
      <c r="D36" s="21">
        <v>2</v>
      </c>
      <c r="E36" s="21">
        <v>30</v>
      </c>
      <c r="F36" s="21" t="s">
        <v>65</v>
      </c>
      <c r="G36" s="21" t="s">
        <v>320</v>
      </c>
      <c r="H36" s="21"/>
      <c r="I36" s="21" t="s">
        <v>285</v>
      </c>
      <c r="J36" s="26">
        <v>34.479999999999997</v>
      </c>
      <c r="K36" s="26">
        <v>1034.3999999999999</v>
      </c>
    </row>
    <row r="37" spans="1:11" x14ac:dyDescent="0.25">
      <c r="A37" s="23">
        <v>46219</v>
      </c>
      <c r="B37" s="21" t="s">
        <v>98</v>
      </c>
      <c r="C37" s="21" t="s">
        <v>318</v>
      </c>
      <c r="D37" s="21">
        <v>1</v>
      </c>
      <c r="E37" s="21">
        <v>50</v>
      </c>
      <c r="F37" s="21" t="s">
        <v>65</v>
      </c>
      <c r="G37" s="21" t="s">
        <v>319</v>
      </c>
      <c r="H37" s="21"/>
      <c r="I37" s="21" t="s">
        <v>321</v>
      </c>
      <c r="J37" s="26">
        <v>34.5</v>
      </c>
      <c r="K37" s="26">
        <v>1725</v>
      </c>
    </row>
    <row r="38" spans="1:11" x14ac:dyDescent="0.25">
      <c r="A38" s="23">
        <v>46219</v>
      </c>
      <c r="B38" s="21" t="s">
        <v>98</v>
      </c>
      <c r="C38" s="21" t="s">
        <v>318</v>
      </c>
      <c r="D38" s="21">
        <v>1</v>
      </c>
      <c r="E38" s="21">
        <v>30</v>
      </c>
      <c r="F38" s="21" t="s">
        <v>65</v>
      </c>
      <c r="G38" s="21" t="s">
        <v>322</v>
      </c>
      <c r="H38" s="21"/>
      <c r="I38" s="21" t="s">
        <v>321</v>
      </c>
      <c r="J38" s="26">
        <v>34.5</v>
      </c>
      <c r="K38" s="26">
        <v>1035</v>
      </c>
    </row>
    <row r="39" spans="1:11" x14ac:dyDescent="0.25">
      <c r="A39" s="23"/>
      <c r="B39" s="21"/>
      <c r="C39" s="21"/>
      <c r="D39" s="21"/>
      <c r="E39" s="21"/>
      <c r="F39" s="21"/>
      <c r="G39" s="21"/>
      <c r="H39" s="21"/>
      <c r="I39" s="21"/>
      <c r="J39" s="26"/>
      <c r="K39" s="26"/>
    </row>
    <row r="40" spans="1:11" x14ac:dyDescent="0.25">
      <c r="A40" s="23"/>
      <c r="B40" s="21"/>
      <c r="C40" s="21"/>
      <c r="D40" s="21"/>
      <c r="E40" s="21"/>
      <c r="F40" s="21"/>
      <c r="G40" s="21"/>
      <c r="H40" s="21"/>
      <c r="I40" s="21"/>
      <c r="J40" s="26"/>
      <c r="K40" s="26"/>
    </row>
    <row r="41" spans="1:11" x14ac:dyDescent="0.25">
      <c r="A41" s="23"/>
      <c r="B41" s="21"/>
      <c r="C41" s="21"/>
      <c r="D41" s="21"/>
      <c r="E41" s="21"/>
      <c r="F41" s="21"/>
      <c r="G41" s="21"/>
      <c r="H41" s="21"/>
      <c r="I41" s="21"/>
      <c r="J41" s="26"/>
      <c r="K41" s="26"/>
    </row>
    <row r="42" spans="1:11" x14ac:dyDescent="0.25">
      <c r="A42" s="23"/>
      <c r="B42" s="21"/>
      <c r="C42" s="21"/>
      <c r="D42" s="21"/>
      <c r="E42" s="21"/>
      <c r="F42" s="21"/>
      <c r="G42" s="21"/>
      <c r="H42" s="21"/>
      <c r="I42" s="21"/>
      <c r="J42" s="26"/>
      <c r="K42" s="26"/>
    </row>
    <row r="43" spans="1:11" x14ac:dyDescent="0.25">
      <c r="A43" s="23"/>
      <c r="B43" s="21"/>
      <c r="C43" s="21"/>
      <c r="D43" s="21"/>
      <c r="E43" s="21"/>
      <c r="F43" s="21"/>
      <c r="G43" s="21"/>
      <c r="H43" s="21"/>
      <c r="I43" s="21"/>
      <c r="J43" s="26"/>
      <c r="K43" s="26"/>
    </row>
    <row r="44" spans="1:11" x14ac:dyDescent="0.25">
      <c r="A44" s="23"/>
      <c r="B44" s="21"/>
      <c r="C44" s="21"/>
      <c r="D44" s="21"/>
      <c r="E44" s="21"/>
      <c r="F44" s="21"/>
      <c r="G44" s="21"/>
      <c r="H44" s="21"/>
      <c r="I44" s="21"/>
      <c r="J44" s="26"/>
      <c r="K44" s="26"/>
    </row>
    <row r="45" spans="1:11" x14ac:dyDescent="0.25">
      <c r="A45" s="23"/>
      <c r="B45" s="21"/>
      <c r="C45" s="21"/>
      <c r="D45" s="21"/>
      <c r="E45" s="21"/>
      <c r="F45" s="21"/>
      <c r="G45" s="21"/>
      <c r="H45" s="21"/>
      <c r="I45" s="21"/>
      <c r="J45" s="26"/>
      <c r="K45" s="26"/>
    </row>
    <row r="46" spans="1:11" x14ac:dyDescent="0.25">
      <c r="A46" s="23"/>
      <c r="B46" s="21"/>
      <c r="C46" s="21"/>
      <c r="D46" s="21"/>
      <c r="E46" s="21"/>
      <c r="F46" s="21"/>
      <c r="G46" s="21"/>
      <c r="H46" s="21"/>
      <c r="I46" s="21"/>
      <c r="J46" s="26"/>
      <c r="K46" s="26"/>
    </row>
    <row r="47" spans="1:11" x14ac:dyDescent="0.25">
      <c r="A47" s="23"/>
      <c r="B47" s="21"/>
      <c r="C47" s="21"/>
      <c r="D47" s="21"/>
      <c r="E47" s="21"/>
      <c r="F47" s="21"/>
      <c r="G47" s="21"/>
      <c r="H47" s="21"/>
      <c r="I47" s="21"/>
      <c r="J47" s="26"/>
      <c r="K47" s="26"/>
    </row>
    <row r="48" spans="1:11" x14ac:dyDescent="0.25">
      <c r="A48" s="23"/>
      <c r="B48" s="21"/>
      <c r="C48" s="21"/>
      <c r="D48" s="21"/>
      <c r="E48" s="21"/>
      <c r="F48" s="21"/>
      <c r="G48" s="21"/>
      <c r="H48" s="21"/>
      <c r="I48" s="21"/>
      <c r="J48" s="26"/>
      <c r="K48" s="26"/>
    </row>
    <row r="49" spans="1:11" x14ac:dyDescent="0.25">
      <c r="A49" s="23"/>
      <c r="B49" s="21"/>
      <c r="C49" s="21"/>
      <c r="D49" s="21"/>
      <c r="E49" s="21"/>
      <c r="F49" s="21"/>
      <c r="G49" s="21"/>
      <c r="H49" s="21"/>
      <c r="I49" s="21"/>
      <c r="J49" s="26"/>
      <c r="K49" s="26"/>
    </row>
    <row r="50" spans="1:11" x14ac:dyDescent="0.25">
      <c r="A50" s="23"/>
      <c r="B50" s="21"/>
      <c r="C50" s="21"/>
      <c r="D50" s="21"/>
      <c r="E50" s="21"/>
      <c r="F50" s="21"/>
      <c r="G50" s="21"/>
      <c r="H50" s="21"/>
      <c r="I50" s="21"/>
      <c r="J50" s="26"/>
      <c r="K50" s="26"/>
    </row>
    <row r="51" spans="1:11" x14ac:dyDescent="0.25">
      <c r="A51" s="23"/>
      <c r="B51" s="21"/>
      <c r="C51" s="21"/>
      <c r="D51" s="21"/>
      <c r="E51" s="21"/>
      <c r="F51" s="21"/>
      <c r="G51" s="21"/>
      <c r="H51" s="21"/>
      <c r="I51" s="21"/>
      <c r="J51" s="26"/>
      <c r="K51" s="26"/>
    </row>
    <row r="52" spans="1:11" x14ac:dyDescent="0.25">
      <c r="A52" s="23"/>
      <c r="B52" s="21"/>
      <c r="C52" s="21"/>
      <c r="D52" s="21"/>
      <c r="E52" s="21"/>
      <c r="F52" s="21"/>
      <c r="G52" s="21"/>
      <c r="H52" s="21"/>
      <c r="I52" s="21"/>
      <c r="J52" s="26"/>
      <c r="K52" s="26"/>
    </row>
    <row r="53" spans="1:11" x14ac:dyDescent="0.25">
      <c r="A53" s="23"/>
      <c r="B53" s="21"/>
      <c r="C53" s="21"/>
      <c r="D53" s="21"/>
      <c r="E53" s="21"/>
      <c r="F53" s="21"/>
      <c r="G53" s="21"/>
      <c r="H53" s="21"/>
      <c r="I53" s="21"/>
      <c r="J53" s="26"/>
      <c r="K53" s="26"/>
    </row>
    <row r="54" spans="1:11" x14ac:dyDescent="0.25">
      <c r="A54" s="23"/>
      <c r="B54" s="21"/>
      <c r="C54" s="21"/>
      <c r="D54" s="21"/>
      <c r="E54" s="21"/>
      <c r="F54" s="21"/>
      <c r="G54" s="21"/>
      <c r="H54" s="21"/>
      <c r="I54" s="21"/>
      <c r="J54" s="26"/>
      <c r="K54" s="26"/>
    </row>
    <row r="55" spans="1:11" x14ac:dyDescent="0.25">
      <c r="A55" s="23"/>
      <c r="B55" s="21"/>
      <c r="C55" s="21"/>
      <c r="D55" s="21"/>
      <c r="E55" s="21"/>
      <c r="F55" s="21"/>
      <c r="G55" s="21"/>
      <c r="H55" s="21"/>
      <c r="I55" s="21"/>
      <c r="J55" s="26"/>
      <c r="K55" s="26"/>
    </row>
    <row r="56" spans="1:11" x14ac:dyDescent="0.25">
      <c r="A56" s="23"/>
      <c r="B56" s="21"/>
      <c r="C56" s="21"/>
      <c r="D56" s="21"/>
      <c r="E56" s="21"/>
      <c r="F56" s="21"/>
      <c r="G56" s="21"/>
      <c r="H56" s="21"/>
      <c r="I56" s="21"/>
      <c r="J56" s="26"/>
      <c r="K56" s="26"/>
    </row>
    <row r="57" spans="1:11" x14ac:dyDescent="0.25">
      <c r="A57" s="23"/>
      <c r="B57" s="21"/>
      <c r="C57" s="21"/>
      <c r="D57" s="21"/>
      <c r="E57" s="21"/>
      <c r="F57" s="21"/>
      <c r="G57" s="21"/>
      <c r="H57" s="21"/>
      <c r="I57" s="21"/>
      <c r="J57" s="26"/>
      <c r="K57" s="26"/>
    </row>
    <row r="58" spans="1:11" x14ac:dyDescent="0.25">
      <c r="A58" s="23"/>
      <c r="B58" s="21"/>
      <c r="C58" s="21"/>
      <c r="D58" s="21"/>
      <c r="E58" s="21"/>
      <c r="F58" s="21"/>
      <c r="G58" s="21"/>
      <c r="H58" s="21"/>
      <c r="I58" s="21"/>
      <c r="J58" s="26"/>
      <c r="K58" s="26"/>
    </row>
    <row r="59" spans="1:11" x14ac:dyDescent="0.25">
      <c r="A59" s="23"/>
      <c r="B59" s="21"/>
      <c r="C59" s="21"/>
      <c r="D59" s="21"/>
      <c r="E59" s="21"/>
      <c r="F59" s="21"/>
      <c r="G59" s="21"/>
      <c r="H59" s="21"/>
      <c r="I59" s="21"/>
      <c r="J59" s="26"/>
      <c r="K59" s="26"/>
    </row>
    <row r="60" spans="1:11" x14ac:dyDescent="0.25">
      <c r="A60" s="23"/>
      <c r="B60" s="21"/>
      <c r="C60" s="21"/>
      <c r="D60" s="21"/>
      <c r="E60" s="21"/>
      <c r="F60" s="21"/>
      <c r="G60" s="21"/>
      <c r="H60" s="21"/>
      <c r="I60" s="21"/>
      <c r="J60" s="26"/>
      <c r="K60" s="26"/>
    </row>
    <row r="61" spans="1:11" x14ac:dyDescent="0.25">
      <c r="A61" s="23"/>
      <c r="B61" s="21"/>
      <c r="C61" s="21"/>
      <c r="D61" s="21"/>
      <c r="E61" s="21"/>
      <c r="F61" s="21"/>
      <c r="G61" s="21"/>
      <c r="H61" s="21"/>
      <c r="I61" s="21"/>
      <c r="J61" s="26"/>
      <c r="K61" s="26"/>
    </row>
  </sheetData>
  <sortState xmlns:xlrd2="http://schemas.microsoft.com/office/spreadsheetml/2017/richdata2" ref="A6:K35">
    <sortCondition ref="A6:A35"/>
  </sortState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K27"/>
  <sheetViews>
    <sheetView workbookViewId="0">
      <selection activeCell="A26" sqref="A26:XFD26"/>
    </sheetView>
  </sheetViews>
  <sheetFormatPr baseColWidth="10" defaultColWidth="9.140625" defaultRowHeight="15" x14ac:dyDescent="0.25"/>
  <cols>
    <col min="1" max="1" width="13" customWidth="1"/>
    <col min="2" max="2" width="15" customWidth="1"/>
    <col min="3" max="3" width="22" customWidth="1"/>
    <col min="4" max="4" width="11.42578125" bestFit="1" customWidth="1"/>
    <col min="5" max="5" width="11" customWidth="1"/>
    <col min="6" max="6" width="10" customWidth="1"/>
    <col min="7" max="9" width="25" customWidth="1"/>
    <col min="10" max="10" width="14" customWidth="1"/>
    <col min="11" max="11" width="15" customWidth="1"/>
  </cols>
  <sheetData>
    <row r="1" spans="1:11" ht="20.25" x14ac:dyDescent="0.35">
      <c r="A1" s="16" t="s">
        <v>25</v>
      </c>
    </row>
    <row r="3" spans="1:11" ht="17.25" x14ac:dyDescent="0.3">
      <c r="A3" s="4" t="s">
        <v>24</v>
      </c>
      <c r="D3" s="17">
        <f>SUMIF(Historial_Compras!B:B, "Monterrey", Historial_Compras!K:K)</f>
        <v>108849.67408</v>
      </c>
    </row>
    <row r="5" spans="1:11" ht="24" customHeight="1" x14ac:dyDescent="0.25">
      <c r="A5" s="19" t="s">
        <v>18</v>
      </c>
      <c r="B5" s="19" t="s">
        <v>19</v>
      </c>
      <c r="C5" s="19" t="s">
        <v>20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21</v>
      </c>
      <c r="I5" s="19" t="s">
        <v>22</v>
      </c>
      <c r="J5" s="19" t="s">
        <v>11</v>
      </c>
      <c r="K5" s="19" t="s">
        <v>12</v>
      </c>
    </row>
    <row r="6" spans="1:11" x14ac:dyDescent="0.25">
      <c r="A6" s="23">
        <v>46196</v>
      </c>
      <c r="B6" s="21" t="s">
        <v>31</v>
      </c>
      <c r="C6" s="21" t="s">
        <v>263</v>
      </c>
      <c r="D6" s="21">
        <v>1</v>
      </c>
      <c r="E6" s="21">
        <v>1</v>
      </c>
      <c r="F6" s="21" t="s">
        <v>150</v>
      </c>
      <c r="G6" s="21" t="s">
        <v>264</v>
      </c>
      <c r="H6" s="21"/>
      <c r="I6" s="21" t="s">
        <v>266</v>
      </c>
      <c r="J6" s="21">
        <v>4020</v>
      </c>
      <c r="K6" s="21">
        <v>4020</v>
      </c>
    </row>
    <row r="7" spans="1:11" x14ac:dyDescent="0.25">
      <c r="A7" s="23">
        <v>46196</v>
      </c>
      <c r="B7" s="21" t="s">
        <v>31</v>
      </c>
      <c r="C7" s="21" t="s">
        <v>263</v>
      </c>
      <c r="D7" s="21">
        <v>2</v>
      </c>
      <c r="E7" s="21">
        <v>1</v>
      </c>
      <c r="F7" s="21" t="s">
        <v>150</v>
      </c>
      <c r="G7" s="21" t="s">
        <v>265</v>
      </c>
      <c r="H7" s="21"/>
      <c r="I7" s="21" t="s">
        <v>266</v>
      </c>
      <c r="J7" s="21">
        <v>365</v>
      </c>
      <c r="K7" s="21">
        <v>365</v>
      </c>
    </row>
    <row r="8" spans="1:11" x14ac:dyDescent="0.25">
      <c r="A8" s="23">
        <v>46196</v>
      </c>
      <c r="B8" s="21" t="s">
        <v>31</v>
      </c>
      <c r="C8" s="21" t="s">
        <v>145</v>
      </c>
      <c r="D8" s="21">
        <v>1</v>
      </c>
      <c r="E8" s="21">
        <v>1</v>
      </c>
      <c r="F8" s="21" t="s">
        <v>45</v>
      </c>
      <c r="G8" s="21" t="s">
        <v>288</v>
      </c>
      <c r="H8" s="21"/>
      <c r="I8" s="21" t="s">
        <v>146</v>
      </c>
      <c r="J8" s="21">
        <v>883.1</v>
      </c>
      <c r="K8" s="21">
        <v>883.1</v>
      </c>
    </row>
    <row r="9" spans="1:11" x14ac:dyDescent="0.25">
      <c r="A9" s="23">
        <v>46199</v>
      </c>
      <c r="B9" s="21" t="s">
        <v>31</v>
      </c>
      <c r="C9" s="21" t="s">
        <v>145</v>
      </c>
      <c r="D9" s="21">
        <v>1</v>
      </c>
      <c r="E9" s="21">
        <v>3</v>
      </c>
      <c r="F9" s="21" t="s">
        <v>147</v>
      </c>
      <c r="G9" s="21" t="s">
        <v>148</v>
      </c>
      <c r="H9" s="21"/>
      <c r="I9" s="21"/>
      <c r="J9" s="21">
        <v>775.73</v>
      </c>
      <c r="K9" s="21">
        <v>2327.19</v>
      </c>
    </row>
    <row r="10" spans="1:11" x14ac:dyDescent="0.25">
      <c r="A10" s="23">
        <v>46203</v>
      </c>
      <c r="B10" s="21" t="s">
        <v>31</v>
      </c>
      <c r="C10" s="21" t="s">
        <v>232</v>
      </c>
      <c r="D10" s="21">
        <v>1</v>
      </c>
      <c r="E10" s="21">
        <v>1</v>
      </c>
      <c r="F10" s="21" t="s">
        <v>150</v>
      </c>
      <c r="G10" s="21" t="s">
        <v>233</v>
      </c>
      <c r="H10" s="21"/>
      <c r="I10" s="21" t="s">
        <v>146</v>
      </c>
      <c r="J10" s="21">
        <v>228.31</v>
      </c>
      <c r="K10" s="21">
        <v>228.31</v>
      </c>
    </row>
    <row r="11" spans="1:11" x14ac:dyDescent="0.25">
      <c r="A11" s="23">
        <v>46203</v>
      </c>
      <c r="B11" s="21" t="s">
        <v>31</v>
      </c>
      <c r="C11" s="21" t="s">
        <v>119</v>
      </c>
      <c r="D11" s="21">
        <v>1</v>
      </c>
      <c r="E11" s="21">
        <v>1</v>
      </c>
      <c r="F11" s="21" t="s">
        <v>150</v>
      </c>
      <c r="G11" s="21" t="s">
        <v>234</v>
      </c>
      <c r="H11" s="21"/>
      <c r="I11" s="21" t="s">
        <v>146</v>
      </c>
      <c r="J11" s="21">
        <v>175</v>
      </c>
      <c r="K11" s="21">
        <v>175</v>
      </c>
    </row>
    <row r="12" spans="1:11" x14ac:dyDescent="0.25">
      <c r="A12" s="21" t="s">
        <v>33</v>
      </c>
      <c r="B12" s="21" t="s">
        <v>31</v>
      </c>
      <c r="C12" s="21" t="s">
        <v>29</v>
      </c>
      <c r="D12" s="21">
        <v>1</v>
      </c>
      <c r="E12" s="21">
        <v>15</v>
      </c>
      <c r="F12" s="21" t="s">
        <v>13</v>
      </c>
      <c r="G12" s="21" t="s">
        <v>14</v>
      </c>
      <c r="H12" s="21" t="s">
        <v>15</v>
      </c>
      <c r="I12" s="21" t="s">
        <v>16</v>
      </c>
      <c r="J12" s="21">
        <v>25</v>
      </c>
      <c r="K12" s="21">
        <v>375</v>
      </c>
    </row>
    <row r="13" spans="1:11" x14ac:dyDescent="0.25">
      <c r="A13" s="21" t="s">
        <v>30</v>
      </c>
      <c r="B13" s="21" t="s">
        <v>31</v>
      </c>
      <c r="C13" s="21" t="s">
        <v>29</v>
      </c>
      <c r="D13" s="21">
        <v>1</v>
      </c>
      <c r="E13" s="21">
        <v>15</v>
      </c>
      <c r="F13" s="21" t="s">
        <v>13</v>
      </c>
      <c r="G13" s="21" t="s">
        <v>14</v>
      </c>
      <c r="H13" s="21" t="s">
        <v>15</v>
      </c>
      <c r="I13" s="21" t="s">
        <v>16</v>
      </c>
      <c r="J13" s="21">
        <v>25</v>
      </c>
      <c r="K13" s="21">
        <v>375</v>
      </c>
    </row>
    <row r="14" spans="1:11" x14ac:dyDescent="0.25">
      <c r="A14" s="23">
        <v>46213</v>
      </c>
      <c r="B14" s="21" t="s">
        <v>306</v>
      </c>
      <c r="C14" s="21" t="s">
        <v>303</v>
      </c>
      <c r="D14" s="21">
        <v>1</v>
      </c>
      <c r="E14" s="21">
        <v>4</v>
      </c>
      <c r="F14" s="21" t="s">
        <v>45</v>
      </c>
      <c r="G14" s="21" t="s">
        <v>304</v>
      </c>
      <c r="H14" s="21"/>
      <c r="I14" s="21" t="s">
        <v>252</v>
      </c>
      <c r="J14" s="21">
        <v>798</v>
      </c>
      <c r="K14" s="21">
        <v>3192</v>
      </c>
    </row>
    <row r="15" spans="1:11" x14ac:dyDescent="0.25">
      <c r="A15" s="23">
        <v>46213</v>
      </c>
      <c r="B15" s="21" t="s">
        <v>306</v>
      </c>
      <c r="C15" s="21" t="s">
        <v>303</v>
      </c>
      <c r="D15" s="21">
        <v>2</v>
      </c>
      <c r="E15" s="21">
        <v>10</v>
      </c>
      <c r="F15" s="21" t="s">
        <v>45</v>
      </c>
      <c r="G15" s="21" t="s">
        <v>305</v>
      </c>
      <c r="H15" s="21"/>
      <c r="I15" s="21" t="s">
        <v>218</v>
      </c>
      <c r="J15" s="21">
        <v>661.2</v>
      </c>
      <c r="K15" s="21">
        <v>6612</v>
      </c>
    </row>
    <row r="16" spans="1:11" x14ac:dyDescent="0.25">
      <c r="A16" s="23">
        <v>46219</v>
      </c>
      <c r="B16" s="21" t="s">
        <v>306</v>
      </c>
      <c r="C16" s="21" t="s">
        <v>330</v>
      </c>
      <c r="D16" s="21">
        <v>1</v>
      </c>
      <c r="E16" s="21">
        <v>4</v>
      </c>
      <c r="F16" s="21" t="s">
        <v>45</v>
      </c>
      <c r="G16" s="21" t="s">
        <v>331</v>
      </c>
      <c r="H16" s="21"/>
      <c r="I16" s="21" t="s">
        <v>252</v>
      </c>
      <c r="J16" s="21">
        <v>377.06</v>
      </c>
      <c r="K16" s="21">
        <v>1508.24</v>
      </c>
    </row>
    <row r="17" spans="1:11" x14ac:dyDescent="0.25">
      <c r="A17" s="23">
        <v>46219</v>
      </c>
      <c r="B17" s="21" t="s">
        <v>306</v>
      </c>
      <c r="C17" s="21" t="s">
        <v>330</v>
      </c>
      <c r="D17" s="21">
        <v>2</v>
      </c>
      <c r="E17" s="21">
        <v>6</v>
      </c>
      <c r="F17" s="21" t="s">
        <v>150</v>
      </c>
      <c r="G17" s="21" t="s">
        <v>332</v>
      </c>
      <c r="H17" s="21"/>
      <c r="I17" s="21" t="s">
        <v>252</v>
      </c>
      <c r="J17" s="21">
        <v>25</v>
      </c>
      <c r="K17" s="21">
        <v>150</v>
      </c>
    </row>
    <row r="18" spans="1:11" x14ac:dyDescent="0.25">
      <c r="A18" s="23">
        <v>46208</v>
      </c>
      <c r="B18" s="21" t="s">
        <v>31</v>
      </c>
      <c r="C18" s="21" t="s">
        <v>303</v>
      </c>
      <c r="D18" s="21">
        <v>1</v>
      </c>
      <c r="E18" s="21">
        <v>4</v>
      </c>
      <c r="F18" s="21" t="s">
        <v>45</v>
      </c>
      <c r="G18" s="21" t="s">
        <v>342</v>
      </c>
      <c r="H18" s="21"/>
      <c r="I18" s="21" t="s">
        <v>252</v>
      </c>
      <c r="J18" s="21">
        <v>798</v>
      </c>
      <c r="K18" s="21">
        <v>3192</v>
      </c>
    </row>
    <row r="19" spans="1:11" x14ac:dyDescent="0.25">
      <c r="A19" s="23">
        <v>46208</v>
      </c>
      <c r="B19" s="21" t="s">
        <v>31</v>
      </c>
      <c r="C19" s="21" t="s">
        <v>303</v>
      </c>
      <c r="D19" s="21">
        <v>2</v>
      </c>
      <c r="E19" s="21">
        <v>10</v>
      </c>
      <c r="F19" s="21" t="s">
        <v>45</v>
      </c>
      <c r="G19" s="21" t="s">
        <v>343</v>
      </c>
      <c r="H19" s="21"/>
      <c r="I19" s="21" t="s">
        <v>252</v>
      </c>
      <c r="J19" s="21">
        <v>661.2</v>
      </c>
      <c r="K19" s="21">
        <v>6612</v>
      </c>
    </row>
    <row r="20" spans="1:11" x14ac:dyDescent="0.25">
      <c r="A20" s="23">
        <v>46208</v>
      </c>
      <c r="B20" s="21" t="s">
        <v>31</v>
      </c>
      <c r="C20" s="21" t="s">
        <v>303</v>
      </c>
      <c r="D20" s="21">
        <v>1</v>
      </c>
      <c r="E20" s="21">
        <v>11</v>
      </c>
      <c r="F20" s="21" t="s">
        <v>45</v>
      </c>
      <c r="G20" s="21" t="s">
        <v>344</v>
      </c>
      <c r="H20" s="21"/>
      <c r="I20" s="21" t="s">
        <v>252</v>
      </c>
      <c r="J20" s="21">
        <v>5480</v>
      </c>
      <c r="K20" s="21">
        <v>60280</v>
      </c>
    </row>
    <row r="21" spans="1:11" x14ac:dyDescent="0.25">
      <c r="A21" s="23">
        <v>46208</v>
      </c>
      <c r="B21" s="21" t="s">
        <v>31</v>
      </c>
      <c r="C21" s="21" t="s">
        <v>303</v>
      </c>
      <c r="D21" s="21">
        <v>2</v>
      </c>
      <c r="E21" s="21">
        <v>30</v>
      </c>
      <c r="F21" s="21" t="s">
        <v>45</v>
      </c>
      <c r="G21" s="21" t="s">
        <v>345</v>
      </c>
      <c r="H21" s="21"/>
      <c r="I21" s="21" t="s">
        <v>252</v>
      </c>
      <c r="J21" s="21">
        <v>336</v>
      </c>
      <c r="K21" s="21">
        <v>10080</v>
      </c>
    </row>
    <row r="22" spans="1:11" x14ac:dyDescent="0.25">
      <c r="A22" s="23">
        <v>46208</v>
      </c>
      <c r="B22" s="21" t="s">
        <v>31</v>
      </c>
      <c r="C22" s="21" t="s">
        <v>303</v>
      </c>
      <c r="D22" s="21">
        <v>3</v>
      </c>
      <c r="E22" s="21">
        <v>120</v>
      </c>
      <c r="F22" s="21" t="s">
        <v>45</v>
      </c>
      <c r="G22" s="21" t="s">
        <v>346</v>
      </c>
      <c r="H22" s="21"/>
      <c r="I22" s="21" t="s">
        <v>252</v>
      </c>
      <c r="J22" s="21">
        <v>12.931034</v>
      </c>
      <c r="K22" s="21">
        <v>1551.72408</v>
      </c>
    </row>
    <row r="23" spans="1:11" x14ac:dyDescent="0.25">
      <c r="A23" s="23">
        <v>46234</v>
      </c>
      <c r="B23" s="21" t="s">
        <v>31</v>
      </c>
      <c r="C23" s="21" t="s">
        <v>303</v>
      </c>
      <c r="D23" s="21">
        <v>1</v>
      </c>
      <c r="E23" s="21">
        <v>8</v>
      </c>
      <c r="F23" s="21" t="s">
        <v>45</v>
      </c>
      <c r="G23" s="21" t="s">
        <v>347</v>
      </c>
      <c r="H23" s="21" t="s">
        <v>349</v>
      </c>
      <c r="I23" s="21" t="s">
        <v>252</v>
      </c>
      <c r="J23" s="21">
        <v>433.25</v>
      </c>
      <c r="K23" s="21">
        <v>3466</v>
      </c>
    </row>
    <row r="24" spans="1:11" x14ac:dyDescent="0.25">
      <c r="A24" s="23">
        <v>46234</v>
      </c>
      <c r="B24" s="21" t="s">
        <v>31</v>
      </c>
      <c r="C24" s="21" t="s">
        <v>303</v>
      </c>
      <c r="D24" s="21">
        <v>2</v>
      </c>
      <c r="E24" s="21">
        <v>6</v>
      </c>
      <c r="F24" s="21" t="s">
        <v>45</v>
      </c>
      <c r="G24" s="21" t="s">
        <v>348</v>
      </c>
      <c r="H24" s="21" t="s">
        <v>350</v>
      </c>
      <c r="I24" s="21" t="s">
        <v>252</v>
      </c>
      <c r="J24" s="21">
        <v>15</v>
      </c>
      <c r="K24" s="21">
        <v>90</v>
      </c>
    </row>
    <row r="25" spans="1:11" x14ac:dyDescent="0.25">
      <c r="A25" s="23">
        <v>46233</v>
      </c>
      <c r="B25" s="21" t="s">
        <v>31</v>
      </c>
      <c r="C25" s="21" t="s">
        <v>232</v>
      </c>
      <c r="D25" s="21">
        <v>1</v>
      </c>
      <c r="E25" s="21">
        <v>1</v>
      </c>
      <c r="F25" s="21" t="s">
        <v>351</v>
      </c>
      <c r="G25" s="21" t="s">
        <v>178</v>
      </c>
      <c r="H25" s="21"/>
      <c r="I25" s="21" t="s">
        <v>146</v>
      </c>
      <c r="J25" s="21">
        <v>775.73</v>
      </c>
      <c r="K25" s="21">
        <v>775.73</v>
      </c>
    </row>
    <row r="26" spans="1:11" x14ac:dyDescent="0.25">
      <c r="A26" s="23">
        <v>46233</v>
      </c>
      <c r="B26" s="21" t="s">
        <v>31</v>
      </c>
      <c r="C26" s="21" t="s">
        <v>352</v>
      </c>
      <c r="D26" s="21">
        <v>1</v>
      </c>
      <c r="E26" s="21">
        <v>1</v>
      </c>
      <c r="F26" s="21" t="s">
        <v>353</v>
      </c>
      <c r="G26" s="21" t="s">
        <v>178</v>
      </c>
      <c r="H26" s="21"/>
      <c r="I26" s="21" t="s">
        <v>146</v>
      </c>
      <c r="J26" s="21">
        <v>3341.38</v>
      </c>
      <c r="K26" s="21">
        <v>3341.38</v>
      </c>
    </row>
    <row r="27" spans="1:1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</row>
  </sheetData>
  <sortState xmlns:xlrd2="http://schemas.microsoft.com/office/spreadsheetml/2017/richdata2" ref="A6:K13">
    <sortCondition ref="A6:A13"/>
  </sortState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K34"/>
  <sheetViews>
    <sheetView workbookViewId="0">
      <selection activeCell="A6" sqref="A6:K34"/>
    </sheetView>
  </sheetViews>
  <sheetFormatPr baseColWidth="10" defaultColWidth="9.140625" defaultRowHeight="15" x14ac:dyDescent="0.25"/>
  <cols>
    <col min="1" max="1" width="13" customWidth="1"/>
    <col min="2" max="2" width="15" customWidth="1"/>
    <col min="3" max="3" width="22" customWidth="1"/>
    <col min="4" max="4" width="11.42578125" bestFit="1" customWidth="1"/>
    <col min="5" max="5" width="11" customWidth="1"/>
    <col min="6" max="6" width="10" customWidth="1"/>
    <col min="7" max="9" width="25" customWidth="1"/>
    <col min="10" max="10" width="14" customWidth="1"/>
    <col min="11" max="11" width="15" customWidth="1"/>
  </cols>
  <sheetData>
    <row r="1" spans="1:11" ht="20.25" x14ac:dyDescent="0.35">
      <c r="A1" s="16" t="s">
        <v>27</v>
      </c>
    </row>
    <row r="3" spans="1:11" ht="17.25" x14ac:dyDescent="0.3">
      <c r="A3" s="4" t="s">
        <v>24</v>
      </c>
      <c r="D3" s="17">
        <f>SUMIF(Historial_Compras!B:B, "Tayoltita", Historial_Compras!K:K)</f>
        <v>6791.06</v>
      </c>
    </row>
    <row r="5" spans="1:11" ht="24" customHeight="1" x14ac:dyDescent="0.25">
      <c r="A5" s="19" t="s">
        <v>18</v>
      </c>
      <c r="B5" s="19" t="s">
        <v>19</v>
      </c>
      <c r="C5" s="19" t="s">
        <v>20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21</v>
      </c>
      <c r="I5" s="19" t="s">
        <v>22</v>
      </c>
      <c r="J5" s="19" t="s">
        <v>11</v>
      </c>
      <c r="K5" s="19" t="s">
        <v>12</v>
      </c>
    </row>
    <row r="6" spans="1:11" x14ac:dyDescent="0.25">
      <c r="A6" s="23">
        <v>46200</v>
      </c>
      <c r="B6" s="21" t="s">
        <v>196</v>
      </c>
      <c r="C6" s="21" t="s">
        <v>149</v>
      </c>
      <c r="D6" s="21">
        <v>1</v>
      </c>
      <c r="E6" s="21">
        <v>5</v>
      </c>
      <c r="F6" s="21" t="s">
        <v>45</v>
      </c>
      <c r="G6" s="21" t="s">
        <v>197</v>
      </c>
      <c r="H6" s="21"/>
      <c r="I6" s="21" t="s">
        <v>198</v>
      </c>
      <c r="J6" s="21">
        <v>18.79</v>
      </c>
      <c r="K6" s="21">
        <v>93.949999999999989</v>
      </c>
    </row>
    <row r="7" spans="1:11" x14ac:dyDescent="0.25">
      <c r="A7" s="23">
        <v>46200</v>
      </c>
      <c r="B7" s="21" t="s">
        <v>196</v>
      </c>
      <c r="C7" s="21" t="s">
        <v>149</v>
      </c>
      <c r="D7" s="21">
        <v>2</v>
      </c>
      <c r="E7" s="21">
        <v>5</v>
      </c>
      <c r="F7" s="21" t="s">
        <v>45</v>
      </c>
      <c r="G7" s="21" t="s">
        <v>199</v>
      </c>
      <c r="H7" s="21"/>
      <c r="I7" s="21" t="s">
        <v>198</v>
      </c>
      <c r="J7" s="21">
        <v>26.1</v>
      </c>
      <c r="K7" s="21">
        <v>130.5</v>
      </c>
    </row>
    <row r="8" spans="1:11" x14ac:dyDescent="0.25">
      <c r="A8" s="23">
        <v>46200</v>
      </c>
      <c r="B8" s="21" t="s">
        <v>196</v>
      </c>
      <c r="C8" s="21" t="s">
        <v>149</v>
      </c>
      <c r="D8" s="21">
        <v>3</v>
      </c>
      <c r="E8" s="21">
        <v>2</v>
      </c>
      <c r="F8" s="21" t="s">
        <v>45</v>
      </c>
      <c r="G8" s="21" t="s">
        <v>200</v>
      </c>
      <c r="H8" s="21"/>
      <c r="I8" s="21" t="s">
        <v>198</v>
      </c>
      <c r="J8" s="21">
        <v>165</v>
      </c>
      <c r="K8" s="21">
        <v>330</v>
      </c>
    </row>
    <row r="9" spans="1:11" x14ac:dyDescent="0.25">
      <c r="A9" s="23">
        <v>46200</v>
      </c>
      <c r="B9" s="21" t="s">
        <v>196</v>
      </c>
      <c r="C9" s="21" t="s">
        <v>119</v>
      </c>
      <c r="D9" s="21">
        <v>1</v>
      </c>
      <c r="E9" s="21">
        <v>1</v>
      </c>
      <c r="F9" s="21" t="s">
        <v>45</v>
      </c>
      <c r="G9" s="21" t="s">
        <v>201</v>
      </c>
      <c r="H9" s="21"/>
      <c r="I9" s="21" t="s">
        <v>198</v>
      </c>
      <c r="J9" s="21">
        <v>922.41</v>
      </c>
      <c r="K9" s="21">
        <v>922.41</v>
      </c>
    </row>
    <row r="10" spans="1:11" x14ac:dyDescent="0.25">
      <c r="A10" s="23">
        <v>46200</v>
      </c>
      <c r="B10" s="21" t="s">
        <v>196</v>
      </c>
      <c r="C10" s="21" t="s">
        <v>119</v>
      </c>
      <c r="D10" s="21">
        <v>2</v>
      </c>
      <c r="E10" s="21">
        <v>1</v>
      </c>
      <c r="F10" s="21" t="s">
        <v>45</v>
      </c>
      <c r="G10" s="21" t="s">
        <v>202</v>
      </c>
      <c r="H10" s="21"/>
      <c r="I10" s="21" t="s">
        <v>198</v>
      </c>
      <c r="J10" s="21">
        <v>400.86</v>
      </c>
      <c r="K10" s="21">
        <v>400.86</v>
      </c>
    </row>
    <row r="11" spans="1:11" x14ac:dyDescent="0.25">
      <c r="A11" s="23">
        <v>46200</v>
      </c>
      <c r="B11" s="21" t="s">
        <v>196</v>
      </c>
      <c r="C11" s="21" t="s">
        <v>119</v>
      </c>
      <c r="D11" s="21">
        <v>3</v>
      </c>
      <c r="E11" s="21">
        <v>2</v>
      </c>
      <c r="F11" s="21" t="s">
        <v>45</v>
      </c>
      <c r="G11" s="21" t="s">
        <v>203</v>
      </c>
      <c r="H11" s="21"/>
      <c r="I11" s="21" t="s">
        <v>198</v>
      </c>
      <c r="J11" s="21">
        <v>500.3</v>
      </c>
      <c r="K11" s="21">
        <v>1000.6</v>
      </c>
    </row>
    <row r="12" spans="1:11" x14ac:dyDescent="0.25">
      <c r="A12" s="23">
        <v>46200</v>
      </c>
      <c r="B12" s="21" t="s">
        <v>196</v>
      </c>
      <c r="C12" s="21" t="s">
        <v>149</v>
      </c>
      <c r="D12" s="21">
        <v>1</v>
      </c>
      <c r="E12" s="21">
        <v>1</v>
      </c>
      <c r="F12" s="21" t="s">
        <v>45</v>
      </c>
      <c r="G12" s="21" t="s">
        <v>204</v>
      </c>
      <c r="H12" s="21"/>
      <c r="I12" s="21" t="s">
        <v>198</v>
      </c>
      <c r="J12" s="21">
        <v>1841.28</v>
      </c>
      <c r="K12" s="21">
        <v>1841.28</v>
      </c>
    </row>
    <row r="13" spans="1:11" x14ac:dyDescent="0.25">
      <c r="A13" s="23">
        <v>46200</v>
      </c>
      <c r="B13" s="21" t="s">
        <v>196</v>
      </c>
      <c r="C13" s="21" t="s">
        <v>205</v>
      </c>
      <c r="D13" s="21">
        <v>1</v>
      </c>
      <c r="E13" s="21">
        <v>1</v>
      </c>
      <c r="F13" s="21" t="s">
        <v>45</v>
      </c>
      <c r="G13" s="21" t="s">
        <v>206</v>
      </c>
      <c r="H13" s="21"/>
      <c r="I13" s="21" t="s">
        <v>198</v>
      </c>
      <c r="J13" s="21">
        <v>210.86</v>
      </c>
      <c r="K13" s="21">
        <v>210.86</v>
      </c>
    </row>
    <row r="14" spans="1:11" x14ac:dyDescent="0.25">
      <c r="A14" s="23">
        <v>46202</v>
      </c>
      <c r="B14" s="21" t="s">
        <v>196</v>
      </c>
      <c r="C14" s="21" t="s">
        <v>166</v>
      </c>
      <c r="D14" s="21">
        <v>1</v>
      </c>
      <c r="E14" s="21">
        <v>20</v>
      </c>
      <c r="F14" s="21" t="s">
        <v>65</v>
      </c>
      <c r="G14" s="21" t="s">
        <v>126</v>
      </c>
      <c r="H14" s="21"/>
      <c r="I14" s="21" t="s">
        <v>224</v>
      </c>
      <c r="J14" s="21">
        <v>59.07</v>
      </c>
      <c r="K14" s="21">
        <v>1181.4000000000001</v>
      </c>
    </row>
    <row r="15" spans="1:11" x14ac:dyDescent="0.25">
      <c r="A15" s="23">
        <v>46202</v>
      </c>
      <c r="B15" s="21" t="s">
        <v>196</v>
      </c>
      <c r="C15" s="21" t="s">
        <v>166</v>
      </c>
      <c r="D15" s="21">
        <v>2</v>
      </c>
      <c r="E15" s="21">
        <v>10</v>
      </c>
      <c r="F15" s="21" t="s">
        <v>65</v>
      </c>
      <c r="G15" s="21" t="s">
        <v>123</v>
      </c>
      <c r="H15" s="21"/>
      <c r="I15" s="21" t="s">
        <v>224</v>
      </c>
      <c r="J15" s="21">
        <v>67.92</v>
      </c>
      <c r="K15" s="21">
        <v>679.2</v>
      </c>
    </row>
    <row r="16" spans="1:11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</row>
    <row r="17" spans="1:1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</row>
    <row r="18" spans="1:1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</row>
    <row r="19" spans="1:1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</row>
    <row r="20" spans="1:1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</row>
    <row r="21" spans="1:1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</row>
    <row r="22" spans="1:1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</row>
    <row r="23" spans="1:1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</row>
    <row r="24" spans="1:1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</row>
    <row r="25" spans="1:1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</row>
    <row r="26" spans="1:1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</row>
    <row r="27" spans="1:1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</row>
    <row r="28" spans="1:1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</row>
    <row r="29" spans="1:1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</row>
    <row r="30" spans="1:1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</row>
    <row r="31" spans="1:1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</row>
    <row r="32" spans="1:1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</row>
    <row r="33" spans="1:1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</row>
    <row r="34" spans="1:1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AA39A-CAEC-43BC-B872-241A1906D817}">
  <sheetPr codeName="Hoja7"/>
  <dimension ref="A1:K68"/>
  <sheetViews>
    <sheetView topLeftCell="A46" workbookViewId="0">
      <selection activeCell="A59" sqref="A59:K68"/>
    </sheetView>
  </sheetViews>
  <sheetFormatPr baseColWidth="10" defaultColWidth="9.140625" defaultRowHeight="15" x14ac:dyDescent="0.25"/>
  <cols>
    <col min="1" max="1" width="13" customWidth="1"/>
    <col min="2" max="2" width="10.140625" bestFit="1" customWidth="1"/>
    <col min="3" max="3" width="22" customWidth="1"/>
    <col min="4" max="4" width="12.7109375" bestFit="1" customWidth="1"/>
    <col min="5" max="5" width="10.140625" bestFit="1" customWidth="1"/>
    <col min="6" max="6" width="10" customWidth="1"/>
    <col min="7" max="7" width="32.5703125" bestFit="1" customWidth="1"/>
    <col min="8" max="9" width="25" customWidth="1"/>
    <col min="10" max="10" width="14" customWidth="1"/>
    <col min="11" max="11" width="15" customWidth="1"/>
  </cols>
  <sheetData>
    <row r="1" spans="1:11" ht="20.25" x14ac:dyDescent="0.35">
      <c r="A1" s="28" t="s">
        <v>110</v>
      </c>
    </row>
    <row r="3" spans="1:11" ht="17.25" x14ac:dyDescent="0.3">
      <c r="A3" s="4" t="s">
        <v>24</v>
      </c>
      <c r="D3" s="17">
        <f>SUMIF(Historial_Compras!B:B, "Taller", Historial_Compras!K:K)</f>
        <v>70920.320000000022</v>
      </c>
    </row>
    <row r="5" spans="1:11" ht="24" customHeight="1" x14ac:dyDescent="0.25">
      <c r="A5" s="22" t="s">
        <v>18</v>
      </c>
      <c r="B5" s="22" t="s">
        <v>19</v>
      </c>
      <c r="C5" s="22" t="s">
        <v>20</v>
      </c>
      <c r="D5" s="22" t="s">
        <v>5</v>
      </c>
      <c r="E5" s="22" t="s">
        <v>6</v>
      </c>
      <c r="F5" s="22" t="s">
        <v>7</v>
      </c>
      <c r="G5" s="22" t="s">
        <v>8</v>
      </c>
      <c r="H5" s="22" t="s">
        <v>21</v>
      </c>
      <c r="I5" s="22" t="s">
        <v>22</v>
      </c>
      <c r="J5" s="22" t="s">
        <v>11</v>
      </c>
      <c r="K5" s="22" t="s">
        <v>12</v>
      </c>
    </row>
    <row r="6" spans="1:11" x14ac:dyDescent="0.25">
      <c r="A6" s="23">
        <v>46182</v>
      </c>
      <c r="B6" s="21" t="s">
        <v>76</v>
      </c>
      <c r="C6" s="21" t="s">
        <v>119</v>
      </c>
      <c r="D6" s="21">
        <v>1</v>
      </c>
      <c r="E6" s="21">
        <v>40</v>
      </c>
      <c r="F6" s="21" t="s">
        <v>65</v>
      </c>
      <c r="G6" s="21" t="s">
        <v>123</v>
      </c>
      <c r="H6" s="21"/>
      <c r="I6" s="21" t="s">
        <v>124</v>
      </c>
      <c r="J6" s="21">
        <v>65.52</v>
      </c>
      <c r="K6" s="21">
        <v>2620.7999999999997</v>
      </c>
    </row>
    <row r="7" spans="1:11" x14ac:dyDescent="0.25">
      <c r="A7" s="23">
        <v>46182</v>
      </c>
      <c r="B7" s="21" t="s">
        <v>76</v>
      </c>
      <c r="C7" s="21" t="s">
        <v>119</v>
      </c>
      <c r="D7" s="21">
        <v>2</v>
      </c>
      <c r="E7" s="21">
        <v>20</v>
      </c>
      <c r="F7" s="21" t="s">
        <v>125</v>
      </c>
      <c r="G7" s="21" t="s">
        <v>126</v>
      </c>
      <c r="H7" s="21"/>
      <c r="I7" s="21" t="s">
        <v>127</v>
      </c>
      <c r="J7" s="21">
        <v>58.62</v>
      </c>
      <c r="K7" s="21">
        <v>1172.3999999999999</v>
      </c>
    </row>
    <row r="8" spans="1:11" x14ac:dyDescent="0.25">
      <c r="A8" s="23">
        <v>46182</v>
      </c>
      <c r="B8" s="21" t="s">
        <v>76</v>
      </c>
      <c r="C8" s="21" t="s">
        <v>119</v>
      </c>
      <c r="D8" s="21">
        <v>3</v>
      </c>
      <c r="E8" s="21">
        <v>20</v>
      </c>
      <c r="F8" s="21" t="s">
        <v>45</v>
      </c>
      <c r="G8" s="21" t="s">
        <v>128</v>
      </c>
      <c r="H8" s="21"/>
      <c r="I8" s="21" t="s">
        <v>127</v>
      </c>
      <c r="J8" s="21">
        <v>22.41</v>
      </c>
      <c r="K8" s="21">
        <v>448.2</v>
      </c>
    </row>
    <row r="9" spans="1:11" x14ac:dyDescent="0.25">
      <c r="A9" s="23">
        <v>46182</v>
      </c>
      <c r="B9" s="21" t="s">
        <v>76</v>
      </c>
      <c r="C9" s="21" t="s">
        <v>119</v>
      </c>
      <c r="D9" s="21">
        <v>4</v>
      </c>
      <c r="E9" s="21">
        <v>5</v>
      </c>
      <c r="F9" s="21" t="s">
        <v>45</v>
      </c>
      <c r="G9" s="21" t="s">
        <v>129</v>
      </c>
      <c r="H9" s="21"/>
      <c r="I9" s="21" t="s">
        <v>111</v>
      </c>
      <c r="J9" s="21">
        <v>73.709999999999994</v>
      </c>
      <c r="K9" s="21">
        <v>368.54999999999995</v>
      </c>
    </row>
    <row r="10" spans="1:11" x14ac:dyDescent="0.25">
      <c r="A10" s="23">
        <v>46182</v>
      </c>
      <c r="B10" s="21" t="s">
        <v>76</v>
      </c>
      <c r="C10" s="21" t="s">
        <v>119</v>
      </c>
      <c r="D10" s="21">
        <v>5</v>
      </c>
      <c r="E10" s="21">
        <v>10</v>
      </c>
      <c r="F10" s="21" t="s">
        <v>45</v>
      </c>
      <c r="G10" s="21" t="s">
        <v>130</v>
      </c>
      <c r="H10" s="21"/>
      <c r="I10" s="21" t="s">
        <v>111</v>
      </c>
      <c r="J10" s="21">
        <v>73.28</v>
      </c>
      <c r="K10" s="21">
        <v>732.8</v>
      </c>
    </row>
    <row r="11" spans="1:11" x14ac:dyDescent="0.25">
      <c r="A11" s="23">
        <v>46182</v>
      </c>
      <c r="B11" s="21" t="s">
        <v>76</v>
      </c>
      <c r="C11" s="21" t="s">
        <v>119</v>
      </c>
      <c r="D11" s="21">
        <v>6</v>
      </c>
      <c r="E11" s="21">
        <v>2</v>
      </c>
      <c r="F11" s="21" t="s">
        <v>120</v>
      </c>
      <c r="G11" s="21" t="s">
        <v>131</v>
      </c>
      <c r="H11" s="21"/>
      <c r="I11" s="21" t="s">
        <v>111</v>
      </c>
      <c r="J11" s="21">
        <v>321.3</v>
      </c>
      <c r="K11" s="21">
        <v>642.6</v>
      </c>
    </row>
    <row r="12" spans="1:11" x14ac:dyDescent="0.25">
      <c r="A12" s="23">
        <v>46186</v>
      </c>
      <c r="B12" s="21" t="s">
        <v>76</v>
      </c>
      <c r="C12" s="21" t="s">
        <v>58</v>
      </c>
      <c r="D12" s="21">
        <v>1</v>
      </c>
      <c r="E12" s="21">
        <v>20</v>
      </c>
      <c r="F12" s="21" t="s">
        <v>125</v>
      </c>
      <c r="G12" s="21" t="s">
        <v>136</v>
      </c>
      <c r="H12" s="21"/>
      <c r="I12" s="21"/>
      <c r="J12" s="21">
        <v>65.52</v>
      </c>
      <c r="K12" s="21">
        <v>1310.3999999999999</v>
      </c>
    </row>
    <row r="13" spans="1:11" x14ac:dyDescent="0.25">
      <c r="A13" s="23">
        <v>46186</v>
      </c>
      <c r="B13" s="21" t="s">
        <v>76</v>
      </c>
      <c r="C13" s="21" t="s">
        <v>58</v>
      </c>
      <c r="D13" s="21">
        <v>2</v>
      </c>
      <c r="E13" s="21">
        <v>20</v>
      </c>
      <c r="F13" s="21" t="s">
        <v>125</v>
      </c>
      <c r="G13" s="21" t="s">
        <v>137</v>
      </c>
      <c r="H13" s="21"/>
      <c r="I13" s="21" t="s">
        <v>138</v>
      </c>
      <c r="J13" s="21">
        <v>63.79</v>
      </c>
      <c r="K13" s="21">
        <v>1275.8</v>
      </c>
    </row>
    <row r="14" spans="1:11" x14ac:dyDescent="0.25">
      <c r="A14" s="23">
        <v>46186</v>
      </c>
      <c r="B14" s="21" t="s">
        <v>76</v>
      </c>
      <c r="C14" s="21" t="s">
        <v>58</v>
      </c>
      <c r="D14" s="21">
        <v>3</v>
      </c>
      <c r="E14" s="21">
        <v>40</v>
      </c>
      <c r="F14" s="21" t="s">
        <v>125</v>
      </c>
      <c r="G14" s="21" t="s">
        <v>139</v>
      </c>
      <c r="H14" s="21"/>
      <c r="I14" s="21" t="s">
        <v>138</v>
      </c>
      <c r="J14" s="21">
        <v>58.62</v>
      </c>
      <c r="K14" s="21">
        <v>2344.7999999999997</v>
      </c>
    </row>
    <row r="15" spans="1:11" x14ac:dyDescent="0.25">
      <c r="A15" s="23">
        <v>46186</v>
      </c>
      <c r="B15" s="21" t="s">
        <v>76</v>
      </c>
      <c r="C15" s="21" t="s">
        <v>58</v>
      </c>
      <c r="D15" s="21">
        <v>4</v>
      </c>
      <c r="E15" s="21">
        <v>15</v>
      </c>
      <c r="F15" s="21" t="s">
        <v>45</v>
      </c>
      <c r="G15" s="21" t="s">
        <v>140</v>
      </c>
      <c r="H15" s="21"/>
      <c r="I15" s="21"/>
      <c r="J15" s="21">
        <v>22.41</v>
      </c>
      <c r="K15" s="21">
        <v>336.15</v>
      </c>
    </row>
    <row r="16" spans="1:11" x14ac:dyDescent="0.25">
      <c r="A16" s="23">
        <v>46186</v>
      </c>
      <c r="B16" s="21" t="s">
        <v>76</v>
      </c>
      <c r="C16" s="21" t="s">
        <v>58</v>
      </c>
      <c r="D16" s="21">
        <v>5</v>
      </c>
      <c r="E16" s="21">
        <v>15</v>
      </c>
      <c r="F16" s="21" t="s">
        <v>45</v>
      </c>
      <c r="G16" s="21" t="s">
        <v>141</v>
      </c>
      <c r="H16" s="21"/>
      <c r="I16" s="21"/>
      <c r="J16" s="21">
        <v>73.709999999999994</v>
      </c>
      <c r="K16" s="21">
        <v>1105.6499999999999</v>
      </c>
    </row>
    <row r="17" spans="1:11" x14ac:dyDescent="0.25">
      <c r="A17" s="23">
        <v>46186</v>
      </c>
      <c r="B17" s="21" t="s">
        <v>76</v>
      </c>
      <c r="C17" s="21" t="s">
        <v>58</v>
      </c>
      <c r="D17" s="21">
        <v>6</v>
      </c>
      <c r="E17" s="21">
        <v>10</v>
      </c>
      <c r="F17" s="21" t="s">
        <v>45</v>
      </c>
      <c r="G17" s="21" t="s">
        <v>142</v>
      </c>
      <c r="H17" s="21"/>
      <c r="I17" s="21"/>
      <c r="J17" s="21">
        <v>47.84</v>
      </c>
      <c r="K17" s="21">
        <v>478.40000000000003</v>
      </c>
    </row>
    <row r="18" spans="1:11" x14ac:dyDescent="0.25">
      <c r="A18" s="23">
        <v>46186</v>
      </c>
      <c r="B18" s="21" t="s">
        <v>76</v>
      </c>
      <c r="C18" s="21" t="s">
        <v>58</v>
      </c>
      <c r="D18" s="21">
        <v>7</v>
      </c>
      <c r="E18" s="21">
        <v>3</v>
      </c>
      <c r="F18" s="21" t="s">
        <v>120</v>
      </c>
      <c r="G18" s="21" t="s">
        <v>143</v>
      </c>
      <c r="H18" s="21"/>
      <c r="I18" s="21" t="s">
        <v>144</v>
      </c>
      <c r="J18" s="21">
        <v>321.3</v>
      </c>
      <c r="K18" s="21">
        <v>963.90000000000009</v>
      </c>
    </row>
    <row r="19" spans="1:11" x14ac:dyDescent="0.25">
      <c r="A19" s="23">
        <v>46190</v>
      </c>
      <c r="B19" s="21" t="s">
        <v>76</v>
      </c>
      <c r="C19" s="21" t="s">
        <v>78</v>
      </c>
      <c r="D19" s="21">
        <v>1</v>
      </c>
      <c r="E19" s="21">
        <v>19</v>
      </c>
      <c r="F19" s="21" t="s">
        <v>79</v>
      </c>
      <c r="G19" s="21" t="s">
        <v>80</v>
      </c>
      <c r="H19" s="21"/>
      <c r="I19" s="21" t="s">
        <v>109</v>
      </c>
      <c r="J19" s="21">
        <v>88.4</v>
      </c>
      <c r="K19" s="21">
        <v>1679.6000000000001</v>
      </c>
    </row>
    <row r="20" spans="1:11" x14ac:dyDescent="0.25">
      <c r="A20" s="23">
        <v>46191</v>
      </c>
      <c r="B20" s="21" t="s">
        <v>76</v>
      </c>
      <c r="C20" s="21" t="s">
        <v>75</v>
      </c>
      <c r="D20" s="21">
        <v>1</v>
      </c>
      <c r="E20" s="21">
        <v>6</v>
      </c>
      <c r="F20" s="21" t="s">
        <v>45</v>
      </c>
      <c r="G20" s="21" t="s">
        <v>77</v>
      </c>
      <c r="H20" s="21"/>
      <c r="I20" s="21"/>
      <c r="J20" s="21">
        <v>55</v>
      </c>
      <c r="K20" s="21">
        <v>330</v>
      </c>
    </row>
    <row r="21" spans="1:11" x14ac:dyDescent="0.25">
      <c r="A21" s="23">
        <v>46195</v>
      </c>
      <c r="B21" s="21" t="s">
        <v>76</v>
      </c>
      <c r="C21" s="21" t="s">
        <v>58</v>
      </c>
      <c r="D21" s="21">
        <v>1</v>
      </c>
      <c r="E21" s="21">
        <v>25</v>
      </c>
      <c r="F21" s="21" t="s">
        <v>45</v>
      </c>
      <c r="G21" s="21" t="s">
        <v>113</v>
      </c>
      <c r="H21" s="21"/>
      <c r="I21" s="21"/>
      <c r="J21" s="21">
        <v>22.41</v>
      </c>
      <c r="K21" s="21">
        <v>560.25</v>
      </c>
    </row>
    <row r="22" spans="1:11" x14ac:dyDescent="0.25">
      <c r="A22" s="23">
        <v>46195</v>
      </c>
      <c r="B22" s="21" t="s">
        <v>76</v>
      </c>
      <c r="C22" s="21" t="s">
        <v>58</v>
      </c>
      <c r="D22" s="21">
        <v>2</v>
      </c>
      <c r="E22" s="21">
        <v>10</v>
      </c>
      <c r="F22" s="21" t="s">
        <v>45</v>
      </c>
      <c r="G22" s="21" t="s">
        <v>114</v>
      </c>
      <c r="H22" s="21"/>
      <c r="I22" s="21"/>
      <c r="J22" s="21">
        <v>10</v>
      </c>
      <c r="K22" s="21">
        <v>100</v>
      </c>
    </row>
    <row r="23" spans="1:11" x14ac:dyDescent="0.25">
      <c r="A23" s="23">
        <v>46195</v>
      </c>
      <c r="B23" s="21" t="s">
        <v>76</v>
      </c>
      <c r="C23" s="21" t="s">
        <v>58</v>
      </c>
      <c r="D23" s="21">
        <v>3</v>
      </c>
      <c r="E23" s="21">
        <v>20</v>
      </c>
      <c r="F23" s="21" t="s">
        <v>45</v>
      </c>
      <c r="G23" s="21" t="s">
        <v>115</v>
      </c>
      <c r="H23" s="21"/>
      <c r="I23" s="21"/>
      <c r="J23" s="21">
        <v>20</v>
      </c>
      <c r="K23" s="21">
        <v>400</v>
      </c>
    </row>
    <row r="24" spans="1:11" x14ac:dyDescent="0.25">
      <c r="A24" s="23">
        <v>46195</v>
      </c>
      <c r="B24" s="21" t="s">
        <v>76</v>
      </c>
      <c r="C24" s="21" t="s">
        <v>116</v>
      </c>
      <c r="D24" s="21">
        <v>1</v>
      </c>
      <c r="E24" s="21">
        <v>2</v>
      </c>
      <c r="F24" s="21" t="s">
        <v>45</v>
      </c>
      <c r="G24" s="21" t="s">
        <v>117</v>
      </c>
      <c r="H24" s="21"/>
      <c r="I24" s="21" t="s">
        <v>118</v>
      </c>
      <c r="J24" s="21">
        <v>2075.52</v>
      </c>
      <c r="K24" s="21">
        <v>4151.04</v>
      </c>
    </row>
    <row r="25" spans="1:11" x14ac:dyDescent="0.25">
      <c r="A25" s="23">
        <v>46196</v>
      </c>
      <c r="B25" s="21" t="s">
        <v>162</v>
      </c>
      <c r="C25" s="21" t="s">
        <v>279</v>
      </c>
      <c r="D25" s="21">
        <v>1</v>
      </c>
      <c r="E25" s="21">
        <v>3</v>
      </c>
      <c r="F25" s="21" t="s">
        <v>150</v>
      </c>
      <c r="G25" s="21" t="s">
        <v>296</v>
      </c>
      <c r="H25" s="21"/>
      <c r="I25" s="21"/>
      <c r="J25" s="21">
        <v>132.93</v>
      </c>
      <c r="K25" s="21">
        <v>398.79</v>
      </c>
    </row>
    <row r="26" spans="1:11" x14ac:dyDescent="0.25">
      <c r="A26" s="23">
        <v>46199</v>
      </c>
      <c r="B26" s="21" t="s">
        <v>76</v>
      </c>
      <c r="C26" s="21" t="s">
        <v>149</v>
      </c>
      <c r="D26" s="21">
        <v>1</v>
      </c>
      <c r="E26" s="21">
        <v>1</v>
      </c>
      <c r="F26" s="21" t="s">
        <v>150</v>
      </c>
      <c r="G26" s="21" t="s">
        <v>151</v>
      </c>
      <c r="H26" s="21"/>
      <c r="I26" s="21" t="s">
        <v>152</v>
      </c>
      <c r="J26" s="21">
        <v>2000</v>
      </c>
      <c r="K26" s="21">
        <v>2000</v>
      </c>
    </row>
    <row r="27" spans="1:11" x14ac:dyDescent="0.25">
      <c r="A27" s="23">
        <v>46199</v>
      </c>
      <c r="B27" s="21" t="s">
        <v>76</v>
      </c>
      <c r="C27" s="21" t="s">
        <v>149</v>
      </c>
      <c r="D27" s="21">
        <v>1</v>
      </c>
      <c r="E27" s="21">
        <v>20</v>
      </c>
      <c r="F27" s="21" t="s">
        <v>153</v>
      </c>
      <c r="G27" s="21" t="s">
        <v>154</v>
      </c>
      <c r="H27" s="21"/>
      <c r="I27" s="21" t="s">
        <v>112</v>
      </c>
      <c r="J27" s="21">
        <v>47.41</v>
      </c>
      <c r="K27" s="21">
        <v>948.19999999999993</v>
      </c>
    </row>
    <row r="28" spans="1:11" x14ac:dyDescent="0.25">
      <c r="A28" s="23">
        <v>46199</v>
      </c>
      <c r="B28" s="21" t="s">
        <v>162</v>
      </c>
      <c r="C28" s="21" t="s">
        <v>163</v>
      </c>
      <c r="D28" s="21">
        <v>1</v>
      </c>
      <c r="E28" s="21">
        <v>1</v>
      </c>
      <c r="F28" s="21" t="s">
        <v>156</v>
      </c>
      <c r="G28" s="21" t="s">
        <v>165</v>
      </c>
      <c r="H28" s="21"/>
      <c r="I28" s="21" t="s">
        <v>164</v>
      </c>
      <c r="J28" s="21">
        <v>314.64999999999998</v>
      </c>
      <c r="K28" s="21">
        <v>314.64999999999998</v>
      </c>
    </row>
    <row r="29" spans="1:11" x14ac:dyDescent="0.25">
      <c r="A29" s="23">
        <v>46199</v>
      </c>
      <c r="B29" s="21" t="s">
        <v>162</v>
      </c>
      <c r="C29" s="21" t="s">
        <v>166</v>
      </c>
      <c r="D29" s="21">
        <v>1</v>
      </c>
      <c r="E29" s="21">
        <v>1</v>
      </c>
      <c r="F29" s="21" t="s">
        <v>156</v>
      </c>
      <c r="G29" s="21" t="s">
        <v>167</v>
      </c>
      <c r="H29" s="21"/>
      <c r="I29" s="21" t="s">
        <v>168</v>
      </c>
      <c r="J29" s="21">
        <v>5067.4799999999996</v>
      </c>
      <c r="K29" s="21">
        <v>5067.4799999999996</v>
      </c>
    </row>
    <row r="30" spans="1:11" x14ac:dyDescent="0.25">
      <c r="A30" s="23">
        <v>46199</v>
      </c>
      <c r="B30" s="21" t="s">
        <v>162</v>
      </c>
      <c r="C30" s="21" t="s">
        <v>78</v>
      </c>
      <c r="D30" s="21">
        <v>1</v>
      </c>
      <c r="E30" s="21">
        <v>19</v>
      </c>
      <c r="F30" s="21" t="s">
        <v>88</v>
      </c>
      <c r="G30" s="21" t="s">
        <v>169</v>
      </c>
      <c r="H30" s="21"/>
      <c r="I30" s="21" t="s">
        <v>170</v>
      </c>
      <c r="J30" s="21">
        <v>68.849999999999994</v>
      </c>
      <c r="K30" s="21">
        <v>1308.1499999999999</v>
      </c>
    </row>
    <row r="31" spans="1:11" x14ac:dyDescent="0.25">
      <c r="A31" s="23">
        <v>46199</v>
      </c>
      <c r="B31" s="21" t="s">
        <v>76</v>
      </c>
      <c r="C31" s="21" t="s">
        <v>172</v>
      </c>
      <c r="D31" s="21">
        <v>1</v>
      </c>
      <c r="E31" s="21">
        <v>1</v>
      </c>
      <c r="F31" s="21" t="s">
        <v>45</v>
      </c>
      <c r="G31" s="21" t="s">
        <v>173</v>
      </c>
      <c r="H31" s="21" t="s">
        <v>174</v>
      </c>
      <c r="I31" s="21" t="s">
        <v>175</v>
      </c>
      <c r="J31" s="21">
        <v>3500</v>
      </c>
      <c r="K31" s="21">
        <v>3500</v>
      </c>
    </row>
    <row r="32" spans="1:11" x14ac:dyDescent="0.25">
      <c r="A32" s="23">
        <v>46199</v>
      </c>
      <c r="B32" s="21" t="s">
        <v>76</v>
      </c>
      <c r="C32" s="21" t="s">
        <v>176</v>
      </c>
      <c r="D32" s="21">
        <v>1</v>
      </c>
      <c r="E32" s="21">
        <v>20</v>
      </c>
      <c r="F32" s="21" t="s">
        <v>177</v>
      </c>
      <c r="G32" s="21" t="s">
        <v>178</v>
      </c>
      <c r="H32" s="21" t="s">
        <v>112</v>
      </c>
      <c r="I32" s="21" t="s">
        <v>175</v>
      </c>
      <c r="J32" s="21">
        <v>47.41</v>
      </c>
      <c r="K32" s="21">
        <v>948.19999999999993</v>
      </c>
    </row>
    <row r="33" spans="1:11" x14ac:dyDescent="0.25">
      <c r="A33" s="23">
        <v>46199</v>
      </c>
      <c r="B33" s="21" t="s">
        <v>76</v>
      </c>
      <c r="C33" s="21" t="s">
        <v>184</v>
      </c>
      <c r="D33" s="21">
        <v>1</v>
      </c>
      <c r="E33" s="21">
        <v>4</v>
      </c>
      <c r="F33" s="21" t="s">
        <v>185</v>
      </c>
      <c r="G33" s="21" t="s">
        <v>186</v>
      </c>
      <c r="H33" s="21" t="s">
        <v>188</v>
      </c>
      <c r="I33" s="21" t="s">
        <v>190</v>
      </c>
      <c r="J33" s="21">
        <v>531.41999999999996</v>
      </c>
      <c r="K33" s="21">
        <v>2125.6799999999998</v>
      </c>
    </row>
    <row r="34" spans="1:11" x14ac:dyDescent="0.25">
      <c r="A34" s="23">
        <v>46199</v>
      </c>
      <c r="B34" s="21" t="s">
        <v>76</v>
      </c>
      <c r="C34" s="21" t="s">
        <v>184</v>
      </c>
      <c r="D34" s="21">
        <v>2</v>
      </c>
      <c r="E34" s="21">
        <v>3</v>
      </c>
      <c r="F34" s="21" t="s">
        <v>185</v>
      </c>
      <c r="G34" s="21" t="s">
        <v>187</v>
      </c>
      <c r="H34" s="21" t="s">
        <v>189</v>
      </c>
      <c r="I34" s="21" t="s">
        <v>190</v>
      </c>
      <c r="J34" s="21">
        <v>307.42</v>
      </c>
      <c r="K34" s="21">
        <v>922.26</v>
      </c>
    </row>
    <row r="35" spans="1:11" x14ac:dyDescent="0.25">
      <c r="A35" s="23">
        <v>46199</v>
      </c>
      <c r="B35" s="21" t="s">
        <v>76</v>
      </c>
      <c r="C35" s="21" t="s">
        <v>44</v>
      </c>
      <c r="D35" s="21">
        <v>1</v>
      </c>
      <c r="E35" s="21">
        <v>1</v>
      </c>
      <c r="F35" s="21" t="s">
        <v>150</v>
      </c>
      <c r="G35" s="21" t="s">
        <v>191</v>
      </c>
      <c r="H35" s="21"/>
      <c r="I35" s="21" t="s">
        <v>192</v>
      </c>
      <c r="J35" s="21">
        <v>590.51</v>
      </c>
      <c r="K35" s="21">
        <v>590.51</v>
      </c>
    </row>
    <row r="36" spans="1:11" x14ac:dyDescent="0.25">
      <c r="A36" s="23">
        <v>46200</v>
      </c>
      <c r="B36" s="21" t="s">
        <v>76</v>
      </c>
      <c r="C36" s="21" t="s">
        <v>193</v>
      </c>
      <c r="D36" s="21">
        <v>1</v>
      </c>
      <c r="E36" s="21">
        <v>2</v>
      </c>
      <c r="F36" s="21" t="s">
        <v>45</v>
      </c>
      <c r="G36" s="21" t="s">
        <v>194</v>
      </c>
      <c r="H36" s="21"/>
      <c r="I36" s="21" t="s">
        <v>195</v>
      </c>
      <c r="J36" s="21">
        <v>1836</v>
      </c>
      <c r="K36" s="21">
        <v>3672</v>
      </c>
    </row>
    <row r="37" spans="1:11" x14ac:dyDescent="0.25">
      <c r="A37" s="23">
        <v>46200</v>
      </c>
      <c r="B37" s="21" t="s">
        <v>76</v>
      </c>
      <c r="C37" s="21" t="s">
        <v>207</v>
      </c>
      <c r="D37" s="21">
        <v>1</v>
      </c>
      <c r="E37" s="21">
        <v>1</v>
      </c>
      <c r="F37" s="21" t="s">
        <v>208</v>
      </c>
      <c r="G37" s="21" t="s">
        <v>209</v>
      </c>
      <c r="H37" s="21" t="s">
        <v>212</v>
      </c>
      <c r="I37" s="21" t="s">
        <v>214</v>
      </c>
      <c r="J37" s="21">
        <v>264.86</v>
      </c>
      <c r="K37" s="21">
        <v>264.86</v>
      </c>
    </row>
    <row r="38" spans="1:11" x14ac:dyDescent="0.25">
      <c r="A38" s="23">
        <v>46200</v>
      </c>
      <c r="B38" s="21" t="s">
        <v>76</v>
      </c>
      <c r="C38" s="21" t="s">
        <v>207</v>
      </c>
      <c r="D38" s="21">
        <v>2</v>
      </c>
      <c r="E38" s="21">
        <v>1</v>
      </c>
      <c r="F38" s="21" t="s">
        <v>208</v>
      </c>
      <c r="G38" s="21" t="s">
        <v>210</v>
      </c>
      <c r="H38" s="21" t="s">
        <v>213</v>
      </c>
      <c r="I38" s="21" t="s">
        <v>214</v>
      </c>
      <c r="J38" s="21">
        <v>474.14</v>
      </c>
      <c r="K38" s="21">
        <v>474.14</v>
      </c>
    </row>
    <row r="39" spans="1:11" x14ac:dyDescent="0.25">
      <c r="A39" s="23">
        <v>46200</v>
      </c>
      <c r="B39" s="21" t="s">
        <v>76</v>
      </c>
      <c r="C39" s="21" t="s">
        <v>207</v>
      </c>
      <c r="D39" s="21">
        <v>3</v>
      </c>
      <c r="E39" s="21">
        <v>1</v>
      </c>
      <c r="F39" s="21" t="s">
        <v>150</v>
      </c>
      <c r="G39" s="21" t="s">
        <v>211</v>
      </c>
      <c r="H39" s="21" t="s">
        <v>213</v>
      </c>
      <c r="I39" s="21" t="s">
        <v>214</v>
      </c>
      <c r="J39" s="21">
        <v>18.97</v>
      </c>
      <c r="K39" s="21">
        <v>18.97</v>
      </c>
    </row>
    <row r="40" spans="1:11" x14ac:dyDescent="0.25">
      <c r="A40" s="23">
        <v>46202</v>
      </c>
      <c r="B40" s="21" t="s">
        <v>76</v>
      </c>
      <c r="C40" s="21" t="s">
        <v>215</v>
      </c>
      <c r="D40" s="21">
        <v>1</v>
      </c>
      <c r="E40" s="21">
        <v>1</v>
      </c>
      <c r="F40" s="21" t="s">
        <v>150</v>
      </c>
      <c r="G40" s="21" t="s">
        <v>216</v>
      </c>
      <c r="H40" s="21" t="s">
        <v>217</v>
      </c>
      <c r="I40" s="21" t="s">
        <v>218</v>
      </c>
      <c r="J40" s="21">
        <v>405</v>
      </c>
      <c r="K40" s="21">
        <v>405</v>
      </c>
    </row>
    <row r="41" spans="1:11" x14ac:dyDescent="0.25">
      <c r="A41" s="23">
        <v>46202</v>
      </c>
      <c r="B41" s="21" t="s">
        <v>76</v>
      </c>
      <c r="C41" s="21" t="s">
        <v>119</v>
      </c>
      <c r="D41" s="21">
        <v>1</v>
      </c>
      <c r="E41" s="21">
        <v>10</v>
      </c>
      <c r="F41" s="21" t="s">
        <v>150</v>
      </c>
      <c r="G41" s="21" t="s">
        <v>221</v>
      </c>
      <c r="H41" s="21"/>
      <c r="I41" s="21" t="s">
        <v>112</v>
      </c>
      <c r="J41" s="21">
        <v>68.97</v>
      </c>
      <c r="K41" s="21">
        <v>689.7</v>
      </c>
    </row>
    <row r="42" spans="1:11" x14ac:dyDescent="0.25">
      <c r="A42" s="23">
        <v>46202</v>
      </c>
      <c r="B42" s="21" t="s">
        <v>76</v>
      </c>
      <c r="C42" s="21" t="s">
        <v>119</v>
      </c>
      <c r="D42" s="21">
        <v>1</v>
      </c>
      <c r="E42" s="21">
        <v>2</v>
      </c>
      <c r="F42" s="21" t="s">
        <v>150</v>
      </c>
      <c r="G42" s="21" t="s">
        <v>223</v>
      </c>
      <c r="H42" s="21"/>
      <c r="I42" s="21" t="s">
        <v>112</v>
      </c>
      <c r="J42" s="21">
        <v>229</v>
      </c>
      <c r="K42" s="21">
        <v>458</v>
      </c>
    </row>
    <row r="43" spans="1:11" x14ac:dyDescent="0.25">
      <c r="A43" s="23">
        <v>46202</v>
      </c>
      <c r="B43" s="21" t="s">
        <v>76</v>
      </c>
      <c r="C43" s="21" t="s">
        <v>119</v>
      </c>
      <c r="D43" s="21">
        <v>2</v>
      </c>
      <c r="E43" s="21">
        <v>2</v>
      </c>
      <c r="F43" s="21" t="s">
        <v>45</v>
      </c>
      <c r="G43" s="21" t="s">
        <v>222</v>
      </c>
      <c r="H43" s="21"/>
      <c r="I43" s="21" t="s">
        <v>112</v>
      </c>
      <c r="J43" s="21">
        <v>145</v>
      </c>
      <c r="K43" s="21">
        <v>290</v>
      </c>
    </row>
    <row r="44" spans="1:11" x14ac:dyDescent="0.25">
      <c r="A44" s="23">
        <v>46203</v>
      </c>
      <c r="B44" s="21" t="s">
        <v>76</v>
      </c>
      <c r="C44" s="21" t="s">
        <v>176</v>
      </c>
      <c r="D44" s="21">
        <v>1</v>
      </c>
      <c r="E44" s="21">
        <v>12</v>
      </c>
      <c r="F44" s="21" t="s">
        <v>150</v>
      </c>
      <c r="G44" s="21" t="s">
        <v>235</v>
      </c>
      <c r="H44" s="21"/>
      <c r="I44" s="21" t="s">
        <v>164</v>
      </c>
      <c r="J44" s="21">
        <v>24</v>
      </c>
      <c r="K44" s="21">
        <v>288</v>
      </c>
    </row>
    <row r="45" spans="1:11" x14ac:dyDescent="0.25">
      <c r="A45" s="23">
        <v>46203</v>
      </c>
      <c r="B45" s="21" t="s">
        <v>76</v>
      </c>
      <c r="C45" s="21" t="s">
        <v>243</v>
      </c>
      <c r="D45" s="21">
        <v>1</v>
      </c>
      <c r="E45" s="21">
        <v>1</v>
      </c>
      <c r="F45" s="21" t="s">
        <v>150</v>
      </c>
      <c r="G45" s="21" t="s">
        <v>244</v>
      </c>
      <c r="H45" s="21"/>
      <c r="I45" s="21" t="s">
        <v>245</v>
      </c>
      <c r="J45" s="21">
        <v>1489.47</v>
      </c>
      <c r="K45" s="21">
        <v>1489.47</v>
      </c>
    </row>
    <row r="46" spans="1:11" x14ac:dyDescent="0.25">
      <c r="A46" s="23">
        <v>46203</v>
      </c>
      <c r="B46" s="21" t="s">
        <v>162</v>
      </c>
      <c r="C46" s="21" t="s">
        <v>119</v>
      </c>
      <c r="D46" s="21">
        <v>1</v>
      </c>
      <c r="E46" s="21">
        <v>2</v>
      </c>
      <c r="F46" s="21" t="s">
        <v>120</v>
      </c>
      <c r="G46" s="21" t="s">
        <v>292</v>
      </c>
      <c r="H46" s="21"/>
      <c r="I46" s="21" t="s">
        <v>293</v>
      </c>
      <c r="J46" s="21">
        <v>578.70000000000005</v>
      </c>
      <c r="K46" s="21">
        <v>1157.4000000000001</v>
      </c>
    </row>
    <row r="47" spans="1:11" x14ac:dyDescent="0.25">
      <c r="A47" s="23">
        <v>46203</v>
      </c>
      <c r="B47" s="21" t="s">
        <v>162</v>
      </c>
      <c r="C47" s="21" t="s">
        <v>119</v>
      </c>
      <c r="D47" s="21">
        <v>1</v>
      </c>
      <c r="E47" s="21">
        <v>1</v>
      </c>
      <c r="F47" s="21" t="s">
        <v>150</v>
      </c>
      <c r="G47" s="21" t="s">
        <v>294</v>
      </c>
      <c r="H47" s="21"/>
      <c r="I47" s="21"/>
      <c r="J47" s="21">
        <v>1425.57</v>
      </c>
      <c r="K47" s="21">
        <v>1425.57</v>
      </c>
    </row>
    <row r="48" spans="1:11" x14ac:dyDescent="0.25">
      <c r="A48" s="23">
        <v>46203</v>
      </c>
      <c r="B48" s="21" t="s">
        <v>162</v>
      </c>
      <c r="C48" s="21" t="s">
        <v>119</v>
      </c>
      <c r="D48" s="21">
        <v>2</v>
      </c>
      <c r="E48" s="21">
        <v>1</v>
      </c>
      <c r="F48" s="21" t="s">
        <v>150</v>
      </c>
      <c r="G48" s="21" t="s">
        <v>295</v>
      </c>
      <c r="H48" s="21"/>
      <c r="I48" s="21"/>
      <c r="J48" s="21">
        <v>2615.5100000000002</v>
      </c>
      <c r="K48" s="21">
        <v>2615.5100000000002</v>
      </c>
    </row>
    <row r="49" spans="1:11" x14ac:dyDescent="0.25">
      <c r="A49" s="23">
        <v>46205</v>
      </c>
      <c r="B49" s="21" t="s">
        <v>76</v>
      </c>
      <c r="C49" s="21" t="s">
        <v>253</v>
      </c>
      <c r="D49" s="21">
        <v>1</v>
      </c>
      <c r="E49" s="21">
        <v>15</v>
      </c>
      <c r="F49" s="21" t="s">
        <v>150</v>
      </c>
      <c r="G49" s="21" t="s">
        <v>254</v>
      </c>
      <c r="H49" s="21"/>
      <c r="I49" s="21" t="s">
        <v>255</v>
      </c>
      <c r="J49" s="21">
        <v>188.33</v>
      </c>
      <c r="K49" s="21">
        <v>2824.9500000000003</v>
      </c>
    </row>
    <row r="50" spans="1:11" x14ac:dyDescent="0.25">
      <c r="A50" s="23">
        <v>46210</v>
      </c>
      <c r="B50" s="21" t="s">
        <v>162</v>
      </c>
      <c r="C50" s="21" t="s">
        <v>307</v>
      </c>
      <c r="D50" s="21">
        <v>1</v>
      </c>
      <c r="E50" s="21">
        <v>1</v>
      </c>
      <c r="F50" s="21" t="s">
        <v>150</v>
      </c>
      <c r="G50" s="21" t="s">
        <v>308</v>
      </c>
      <c r="H50" s="21"/>
      <c r="I50" s="21" t="s">
        <v>252</v>
      </c>
      <c r="J50" s="21">
        <v>31.39</v>
      </c>
      <c r="K50" s="21">
        <v>31.39</v>
      </c>
    </row>
    <row r="51" spans="1:11" x14ac:dyDescent="0.25">
      <c r="A51" s="23">
        <v>46210</v>
      </c>
      <c r="B51" s="21" t="s">
        <v>162</v>
      </c>
      <c r="C51" s="21" t="s">
        <v>225</v>
      </c>
      <c r="D51" s="21">
        <v>1</v>
      </c>
      <c r="E51" s="21">
        <v>7</v>
      </c>
      <c r="F51" s="21" t="s">
        <v>45</v>
      </c>
      <c r="G51" s="21" t="s">
        <v>241</v>
      </c>
      <c r="H51" s="21"/>
      <c r="I51" s="21" t="s">
        <v>302</v>
      </c>
      <c r="J51" s="21">
        <v>287.95</v>
      </c>
      <c r="K51" s="21">
        <v>2015.6499999999999</v>
      </c>
    </row>
    <row r="52" spans="1:11" x14ac:dyDescent="0.25">
      <c r="A52" s="23">
        <v>46581</v>
      </c>
      <c r="B52" s="21" t="s">
        <v>162</v>
      </c>
      <c r="C52" s="21" t="s">
        <v>309</v>
      </c>
      <c r="D52" s="21">
        <v>1</v>
      </c>
      <c r="E52" s="21">
        <v>1</v>
      </c>
      <c r="F52" s="21" t="s">
        <v>310</v>
      </c>
      <c r="G52" s="21" t="s">
        <v>311</v>
      </c>
      <c r="H52" s="21"/>
      <c r="I52" s="21" t="s">
        <v>238</v>
      </c>
      <c r="J52" s="21">
        <v>5140.21</v>
      </c>
      <c r="K52" s="21">
        <v>5140.21</v>
      </c>
    </row>
    <row r="53" spans="1:11" x14ac:dyDescent="0.25">
      <c r="A53" s="23">
        <v>46218</v>
      </c>
      <c r="B53" s="21" t="s">
        <v>162</v>
      </c>
      <c r="C53" s="21" t="s">
        <v>323</v>
      </c>
      <c r="D53" s="21">
        <v>1</v>
      </c>
      <c r="E53" s="21">
        <v>1</v>
      </c>
      <c r="F53" s="21" t="s">
        <v>132</v>
      </c>
      <c r="G53" s="21" t="s">
        <v>324</v>
      </c>
      <c r="H53" s="21"/>
      <c r="I53" s="21" t="s">
        <v>112</v>
      </c>
      <c r="J53" s="21">
        <v>500</v>
      </c>
      <c r="K53" s="21">
        <v>500</v>
      </c>
    </row>
    <row r="54" spans="1:11" x14ac:dyDescent="0.25">
      <c r="A54" s="23">
        <v>46217</v>
      </c>
      <c r="B54" s="21" t="s">
        <v>162</v>
      </c>
      <c r="C54" s="21" t="s">
        <v>325</v>
      </c>
      <c r="D54" s="21">
        <v>1</v>
      </c>
      <c r="E54" s="21">
        <v>10</v>
      </c>
      <c r="F54" s="21" t="s">
        <v>45</v>
      </c>
      <c r="G54" s="21" t="s">
        <v>326</v>
      </c>
      <c r="H54" s="21"/>
      <c r="I54" s="21" t="s">
        <v>112</v>
      </c>
      <c r="J54" s="21">
        <v>27.58</v>
      </c>
      <c r="K54" s="21">
        <v>275.79999999999995</v>
      </c>
    </row>
    <row r="55" spans="1:11" x14ac:dyDescent="0.25">
      <c r="A55" s="23">
        <v>46217</v>
      </c>
      <c r="B55" s="21" t="s">
        <v>162</v>
      </c>
      <c r="C55" s="21" t="s">
        <v>325</v>
      </c>
      <c r="D55" s="21">
        <v>2</v>
      </c>
      <c r="E55" s="21">
        <v>1</v>
      </c>
      <c r="F55" s="21" t="s">
        <v>150</v>
      </c>
      <c r="G55" s="21" t="s">
        <v>327</v>
      </c>
      <c r="H55" s="21"/>
      <c r="I55" s="21" t="s">
        <v>112</v>
      </c>
      <c r="J55" s="21">
        <v>19.82</v>
      </c>
      <c r="K55" s="21">
        <v>19.82</v>
      </c>
    </row>
    <row r="56" spans="1:11" x14ac:dyDescent="0.25">
      <c r="A56" s="23">
        <v>46217</v>
      </c>
      <c r="B56" s="21" t="s">
        <v>162</v>
      </c>
      <c r="C56" s="21" t="s">
        <v>325</v>
      </c>
      <c r="D56" s="21">
        <v>3</v>
      </c>
      <c r="E56" s="21">
        <v>1</v>
      </c>
      <c r="F56" s="21" t="s">
        <v>150</v>
      </c>
      <c r="G56" s="21" t="s">
        <v>328</v>
      </c>
      <c r="H56" s="21"/>
      <c r="I56" s="21" t="s">
        <v>112</v>
      </c>
      <c r="J56" s="21">
        <v>41.37</v>
      </c>
      <c r="K56" s="21">
        <v>0</v>
      </c>
    </row>
    <row r="57" spans="1:11" x14ac:dyDescent="0.25">
      <c r="A57" s="23">
        <v>46217</v>
      </c>
      <c r="B57" s="21" t="s">
        <v>162</v>
      </c>
      <c r="C57" s="21" t="s">
        <v>325</v>
      </c>
      <c r="D57" s="21">
        <v>4</v>
      </c>
      <c r="E57" s="21">
        <v>2</v>
      </c>
      <c r="F57" s="21" t="s">
        <v>45</v>
      </c>
      <c r="G57" s="21" t="s">
        <v>329</v>
      </c>
      <c r="H57" s="21"/>
      <c r="I57" s="21" t="s">
        <v>112</v>
      </c>
      <c r="J57" s="21">
        <v>101.72</v>
      </c>
      <c r="K57" s="21">
        <v>203.44</v>
      </c>
    </row>
    <row r="58" spans="1:11" x14ac:dyDescent="0.25">
      <c r="A58" s="23">
        <v>46214</v>
      </c>
      <c r="B58" s="21" t="s">
        <v>76</v>
      </c>
      <c r="C58" s="21" t="s">
        <v>58</v>
      </c>
      <c r="D58" s="21">
        <v>1</v>
      </c>
      <c r="E58" s="21">
        <v>1</v>
      </c>
      <c r="F58" s="21" t="s">
        <v>351</v>
      </c>
      <c r="G58" s="21" t="s">
        <v>378</v>
      </c>
      <c r="H58" s="21"/>
      <c r="I58" s="21" t="s">
        <v>379</v>
      </c>
      <c r="J58" s="21">
        <v>4228.45</v>
      </c>
      <c r="K58" s="21">
        <v>4228.45</v>
      </c>
    </row>
    <row r="59" spans="1:11" x14ac:dyDescent="0.25">
      <c r="A59" s="23">
        <v>46217</v>
      </c>
      <c r="B59" s="21" t="s">
        <v>76</v>
      </c>
      <c r="C59" s="21" t="s">
        <v>286</v>
      </c>
      <c r="D59" s="21">
        <v>1</v>
      </c>
      <c r="E59" s="21">
        <v>2</v>
      </c>
      <c r="F59" s="21" t="s">
        <v>45</v>
      </c>
      <c r="G59" s="21" t="s">
        <v>380</v>
      </c>
      <c r="H59" s="21"/>
      <c r="I59" s="21" t="s">
        <v>381</v>
      </c>
      <c r="J59" s="21">
        <v>229.82</v>
      </c>
      <c r="K59" s="21">
        <v>459.64</v>
      </c>
    </row>
    <row r="60" spans="1:11" x14ac:dyDescent="0.25">
      <c r="A60" s="23">
        <v>46234</v>
      </c>
      <c r="B60" s="21" t="s">
        <v>76</v>
      </c>
      <c r="C60" s="21" t="s">
        <v>286</v>
      </c>
      <c r="D60" s="21">
        <v>1</v>
      </c>
      <c r="E60" s="21">
        <v>2</v>
      </c>
      <c r="F60" s="21" t="s">
        <v>45</v>
      </c>
      <c r="G60" s="21" t="s">
        <v>380</v>
      </c>
      <c r="H60" s="21"/>
      <c r="I60" s="21" t="s">
        <v>382</v>
      </c>
      <c r="J60" s="21">
        <v>229.82</v>
      </c>
      <c r="K60" s="21">
        <v>459.64</v>
      </c>
    </row>
    <row r="61" spans="1:11" x14ac:dyDescent="0.25">
      <c r="A61" s="23">
        <v>46214</v>
      </c>
      <c r="B61" s="21" t="s">
        <v>76</v>
      </c>
      <c r="C61" s="21" t="s">
        <v>286</v>
      </c>
      <c r="D61" s="21">
        <v>1</v>
      </c>
      <c r="E61" s="21">
        <v>1</v>
      </c>
      <c r="F61" s="21" t="s">
        <v>45</v>
      </c>
      <c r="G61" s="21" t="s">
        <v>383</v>
      </c>
      <c r="H61" s="21"/>
      <c r="I61" s="21" t="s">
        <v>385</v>
      </c>
      <c r="J61" s="21">
        <v>814.16</v>
      </c>
      <c r="K61" s="21">
        <v>814.16</v>
      </c>
    </row>
    <row r="62" spans="1:11" x14ac:dyDescent="0.25">
      <c r="A62" s="23">
        <v>46214</v>
      </c>
      <c r="B62" s="21" t="s">
        <v>76</v>
      </c>
      <c r="C62" s="21" t="s">
        <v>286</v>
      </c>
      <c r="D62" s="21">
        <v>2</v>
      </c>
      <c r="E62" s="21">
        <v>1</v>
      </c>
      <c r="F62" s="21" t="s">
        <v>45</v>
      </c>
      <c r="G62" s="21" t="s">
        <v>384</v>
      </c>
      <c r="H62" s="21"/>
      <c r="I62" s="21" t="s">
        <v>386</v>
      </c>
      <c r="J62" s="21">
        <v>285</v>
      </c>
      <c r="K62" s="21">
        <v>285</v>
      </c>
    </row>
    <row r="63" spans="1:11" x14ac:dyDescent="0.25">
      <c r="A63" s="23">
        <v>46214</v>
      </c>
      <c r="B63" s="21" t="s">
        <v>76</v>
      </c>
      <c r="C63" s="21" t="s">
        <v>286</v>
      </c>
      <c r="D63" s="21">
        <v>1</v>
      </c>
      <c r="E63" s="21">
        <v>1</v>
      </c>
      <c r="F63" s="21" t="s">
        <v>45</v>
      </c>
      <c r="G63" s="21" t="s">
        <v>387</v>
      </c>
      <c r="H63" s="21"/>
      <c r="I63" s="21" t="s">
        <v>385</v>
      </c>
      <c r="J63" s="21">
        <v>286.02</v>
      </c>
      <c r="K63" s="21">
        <v>286.02</v>
      </c>
    </row>
    <row r="64" spans="1:11" x14ac:dyDescent="0.25">
      <c r="A64" s="23">
        <v>46217</v>
      </c>
      <c r="B64" s="21" t="s">
        <v>76</v>
      </c>
      <c r="C64" s="21" t="s">
        <v>388</v>
      </c>
      <c r="D64" s="21">
        <v>1</v>
      </c>
      <c r="E64" s="21">
        <v>10</v>
      </c>
      <c r="F64" s="21" t="s">
        <v>150</v>
      </c>
      <c r="G64" s="21" t="s">
        <v>389</v>
      </c>
      <c r="H64" s="21"/>
      <c r="I64" s="21" t="s">
        <v>391</v>
      </c>
      <c r="J64" s="21">
        <v>27.58</v>
      </c>
      <c r="K64" s="21">
        <v>275.79999999999995</v>
      </c>
    </row>
    <row r="65" spans="1:11" x14ac:dyDescent="0.25">
      <c r="A65" s="23">
        <v>46217</v>
      </c>
      <c r="B65" s="21" t="s">
        <v>76</v>
      </c>
      <c r="C65" s="21" t="s">
        <v>388</v>
      </c>
      <c r="D65" s="21">
        <v>2</v>
      </c>
      <c r="E65" s="21">
        <v>1</v>
      </c>
      <c r="F65" s="21" t="s">
        <v>150</v>
      </c>
      <c r="G65" s="21" t="s">
        <v>390</v>
      </c>
      <c r="H65" s="21"/>
      <c r="I65" s="21" t="s">
        <v>391</v>
      </c>
      <c r="J65" s="21">
        <v>19.82</v>
      </c>
      <c r="K65" s="21">
        <v>19.82</v>
      </c>
    </row>
    <row r="66" spans="1:11" x14ac:dyDescent="0.25">
      <c r="A66" s="23">
        <v>46217</v>
      </c>
      <c r="B66" s="21" t="s">
        <v>76</v>
      </c>
      <c r="C66" s="21" t="s">
        <v>388</v>
      </c>
      <c r="D66" s="21">
        <v>3</v>
      </c>
      <c r="E66" s="21">
        <v>1</v>
      </c>
      <c r="F66" s="21" t="s">
        <v>150</v>
      </c>
      <c r="G66" s="21" t="s">
        <v>328</v>
      </c>
      <c r="H66" s="21"/>
      <c r="I66" s="21" t="s">
        <v>391</v>
      </c>
      <c r="J66" s="21">
        <v>41.37</v>
      </c>
      <c r="K66" s="21">
        <v>41.37</v>
      </c>
    </row>
    <row r="67" spans="1:11" x14ac:dyDescent="0.25">
      <c r="A67" s="23"/>
      <c r="B67" s="21"/>
      <c r="C67" s="21"/>
      <c r="D67" s="21"/>
      <c r="E67" s="21"/>
      <c r="F67" s="21"/>
      <c r="G67" s="21"/>
      <c r="H67" s="21"/>
      <c r="I67" s="21"/>
      <c r="J67" s="21"/>
      <c r="K67" s="21"/>
    </row>
    <row r="68" spans="1:11" x14ac:dyDescent="0.25">
      <c r="A68" s="23"/>
      <c r="B68" s="21"/>
      <c r="C68" s="21"/>
      <c r="D68" s="21"/>
      <c r="E68" s="21"/>
      <c r="F68" s="21"/>
      <c r="G68" s="21"/>
      <c r="H68" s="21"/>
      <c r="I68" s="21"/>
      <c r="J68" s="21"/>
      <c r="K68" s="21"/>
    </row>
  </sheetData>
  <sortState xmlns:xlrd2="http://schemas.microsoft.com/office/spreadsheetml/2017/richdata2" ref="A6:K49">
    <sortCondition ref="A6:A49"/>
  </sortState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281E-B7E0-42CC-94D0-24C264458353}">
  <sheetPr codeName="Hoja8"/>
  <dimension ref="A1:K34"/>
  <sheetViews>
    <sheetView workbookViewId="0">
      <selection activeCell="L16" sqref="L16"/>
    </sheetView>
  </sheetViews>
  <sheetFormatPr baseColWidth="10" defaultColWidth="9.140625" defaultRowHeight="15" x14ac:dyDescent="0.25"/>
  <cols>
    <col min="1" max="1" width="13" customWidth="1"/>
    <col min="2" max="2" width="10.140625" bestFit="1" customWidth="1"/>
    <col min="3" max="3" width="22" customWidth="1"/>
    <col min="4" max="4" width="12.7109375" bestFit="1" customWidth="1"/>
    <col min="5" max="5" width="10.140625" bestFit="1" customWidth="1"/>
    <col min="6" max="6" width="10" customWidth="1"/>
    <col min="7" max="7" width="32.5703125" bestFit="1" customWidth="1"/>
    <col min="8" max="9" width="25" customWidth="1"/>
    <col min="10" max="10" width="14" customWidth="1"/>
    <col min="11" max="11" width="15" customWidth="1"/>
  </cols>
  <sheetData>
    <row r="1" spans="1:11" ht="20.25" x14ac:dyDescent="0.35">
      <c r="A1" s="16" t="s">
        <v>171</v>
      </c>
    </row>
    <row r="3" spans="1:11" ht="17.25" x14ac:dyDescent="0.3">
      <c r="A3" s="4" t="s">
        <v>24</v>
      </c>
      <c r="D3" s="17">
        <f>SUMIF(Historial_Compras!B:B, "Monclova", Historial_Compras!K:K)</f>
        <v>0</v>
      </c>
    </row>
    <row r="5" spans="1:11" ht="24" customHeight="1" x14ac:dyDescent="0.25">
      <c r="A5" s="22" t="s">
        <v>18</v>
      </c>
      <c r="B5" s="22" t="s">
        <v>19</v>
      </c>
      <c r="C5" s="22" t="s">
        <v>20</v>
      </c>
      <c r="D5" s="22" t="s">
        <v>5</v>
      </c>
      <c r="E5" s="22" t="s">
        <v>6</v>
      </c>
      <c r="F5" s="22" t="s">
        <v>7</v>
      </c>
      <c r="G5" s="22" t="s">
        <v>8</v>
      </c>
      <c r="H5" s="22" t="s">
        <v>21</v>
      </c>
      <c r="I5" s="22" t="s">
        <v>22</v>
      </c>
      <c r="J5" s="22" t="s">
        <v>11</v>
      </c>
      <c r="K5" s="22" t="s">
        <v>12</v>
      </c>
    </row>
    <row r="6" spans="1:11" x14ac:dyDescent="0.25">
      <c r="A6" s="23">
        <v>46219</v>
      </c>
      <c r="B6" s="21" t="s">
        <v>333</v>
      </c>
      <c r="C6" s="21" t="s">
        <v>334</v>
      </c>
      <c r="D6" s="21"/>
      <c r="E6" s="21">
        <v>1</v>
      </c>
      <c r="F6" s="21" t="s">
        <v>132</v>
      </c>
      <c r="G6" s="21" t="s">
        <v>335</v>
      </c>
      <c r="H6" s="21"/>
      <c r="I6" s="21"/>
      <c r="J6" s="21">
        <v>1203.06</v>
      </c>
      <c r="K6" s="21">
        <v>1203.06</v>
      </c>
    </row>
    <row r="7" spans="1:11" x14ac:dyDescent="0.25">
      <c r="A7" s="23">
        <v>46219</v>
      </c>
      <c r="B7" s="21" t="s">
        <v>333</v>
      </c>
      <c r="C7" s="21" t="s">
        <v>334</v>
      </c>
      <c r="D7" s="21"/>
      <c r="E7" s="21">
        <v>1</v>
      </c>
      <c r="F7" s="21" t="s">
        <v>132</v>
      </c>
      <c r="G7" s="21" t="s">
        <v>336</v>
      </c>
      <c r="H7" s="21"/>
      <c r="I7" s="21"/>
      <c r="J7" s="21">
        <v>187054</v>
      </c>
      <c r="K7" s="21">
        <v>187054</v>
      </c>
    </row>
    <row r="8" spans="1:11" x14ac:dyDescent="0.25">
      <c r="A8" s="23"/>
      <c r="B8" s="21"/>
      <c r="C8" s="21"/>
      <c r="D8" s="21"/>
      <c r="E8" s="21"/>
      <c r="F8" s="21"/>
      <c r="G8" s="21"/>
      <c r="H8" s="21"/>
      <c r="I8" s="21"/>
      <c r="J8" s="21"/>
      <c r="K8" s="21"/>
    </row>
    <row r="9" spans="1:11" x14ac:dyDescent="0.25">
      <c r="A9" s="23"/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1" x14ac:dyDescent="0.25">
      <c r="A10" s="23"/>
      <c r="B10" s="21"/>
      <c r="C10" s="21"/>
      <c r="D10" s="21"/>
      <c r="E10" s="21"/>
      <c r="F10" s="21"/>
      <c r="G10" s="21"/>
      <c r="H10" s="21"/>
      <c r="I10" s="21"/>
      <c r="J10" s="21"/>
      <c r="K10" s="21"/>
    </row>
    <row r="11" spans="1:11" x14ac:dyDescent="0.25">
      <c r="A11" s="23"/>
      <c r="B11" s="21"/>
      <c r="C11" s="21"/>
      <c r="D11" s="21"/>
      <c r="E11" s="21"/>
      <c r="F11" s="21"/>
      <c r="G11" s="21"/>
      <c r="H11" s="21"/>
      <c r="I11" s="21"/>
      <c r="J11" s="21"/>
      <c r="K11" s="21"/>
    </row>
    <row r="12" spans="1:11" x14ac:dyDescent="0.25">
      <c r="A12" s="23"/>
      <c r="B12" s="21"/>
      <c r="C12" s="21"/>
      <c r="D12" s="21"/>
      <c r="E12" s="21"/>
      <c r="F12" s="21"/>
      <c r="G12" s="21"/>
      <c r="H12" s="21"/>
      <c r="I12" s="21"/>
      <c r="J12" s="21"/>
      <c r="K12" s="21"/>
    </row>
    <row r="13" spans="1:11" x14ac:dyDescent="0.25">
      <c r="A13" s="23"/>
      <c r="B13" s="21"/>
      <c r="C13" s="21"/>
      <c r="D13" s="21"/>
      <c r="E13" s="21"/>
      <c r="F13" s="21"/>
      <c r="G13" s="21"/>
      <c r="H13" s="21"/>
      <c r="I13" s="21"/>
      <c r="J13" s="21"/>
      <c r="K13" s="21"/>
    </row>
    <row r="14" spans="1:11" x14ac:dyDescent="0.25">
      <c r="A14" s="23"/>
      <c r="B14" s="21"/>
      <c r="C14" s="21"/>
      <c r="D14" s="21"/>
      <c r="E14" s="21"/>
      <c r="F14" s="21"/>
      <c r="G14" s="21"/>
      <c r="H14" s="21"/>
      <c r="I14" s="21"/>
      <c r="J14" s="21"/>
      <c r="K14" s="21"/>
    </row>
    <row r="15" spans="1:11" x14ac:dyDescent="0.25">
      <c r="A15" s="23"/>
      <c r="B15" s="21"/>
      <c r="C15" s="21"/>
      <c r="D15" s="21"/>
      <c r="E15" s="21"/>
      <c r="F15" s="21"/>
      <c r="G15" s="21"/>
      <c r="H15" s="21"/>
      <c r="I15" s="21"/>
      <c r="J15" s="21"/>
      <c r="K15" s="21"/>
    </row>
    <row r="16" spans="1:11" x14ac:dyDescent="0.25">
      <c r="A16" s="23"/>
      <c r="B16" s="21"/>
      <c r="C16" s="21"/>
      <c r="D16" s="21"/>
      <c r="E16" s="21"/>
      <c r="F16" s="21"/>
      <c r="G16" s="21"/>
      <c r="H16" s="21"/>
      <c r="I16" s="21"/>
      <c r="J16" s="21"/>
      <c r="K16" s="21"/>
    </row>
    <row r="17" spans="1:11" x14ac:dyDescent="0.25">
      <c r="A17" s="23"/>
      <c r="B17" s="21"/>
      <c r="C17" s="21"/>
      <c r="D17" s="21"/>
      <c r="E17" s="21"/>
      <c r="F17" s="21"/>
      <c r="G17" s="21"/>
      <c r="H17" s="21"/>
      <c r="I17" s="21"/>
      <c r="J17" s="21"/>
      <c r="K17" s="21"/>
    </row>
    <row r="18" spans="1:11" x14ac:dyDescent="0.25">
      <c r="A18" s="23"/>
      <c r="B18" s="21"/>
      <c r="C18" s="21"/>
      <c r="D18" s="21"/>
      <c r="E18" s="21"/>
      <c r="F18" s="21"/>
      <c r="G18" s="21"/>
      <c r="H18" s="21"/>
      <c r="I18" s="21"/>
      <c r="J18" s="21"/>
      <c r="K18" s="21"/>
    </row>
    <row r="19" spans="1:11" x14ac:dyDescent="0.25">
      <c r="A19" s="23"/>
      <c r="B19" s="21"/>
      <c r="C19" s="21"/>
      <c r="D19" s="21"/>
      <c r="E19" s="21"/>
      <c r="F19" s="21"/>
      <c r="G19" s="21"/>
      <c r="H19" s="21"/>
      <c r="I19" s="21"/>
      <c r="J19" s="21"/>
      <c r="K19" s="21"/>
    </row>
    <row r="20" spans="1:11" x14ac:dyDescent="0.25">
      <c r="A20" s="23"/>
      <c r="B20" s="21"/>
      <c r="C20" s="21"/>
      <c r="D20" s="21"/>
      <c r="E20" s="21"/>
      <c r="F20" s="21"/>
      <c r="G20" s="21"/>
      <c r="H20" s="21"/>
      <c r="I20" s="21"/>
      <c r="J20" s="21"/>
      <c r="K20" s="21"/>
    </row>
    <row r="21" spans="1:11" x14ac:dyDescent="0.25">
      <c r="A21" s="23"/>
      <c r="B21" s="21"/>
      <c r="C21" s="21"/>
      <c r="D21" s="21"/>
      <c r="E21" s="21"/>
      <c r="F21" s="21"/>
      <c r="G21" s="21"/>
      <c r="H21" s="21"/>
      <c r="I21" s="21"/>
      <c r="J21" s="21"/>
      <c r="K21" s="21"/>
    </row>
    <row r="22" spans="1:11" x14ac:dyDescent="0.25">
      <c r="A22" s="23"/>
      <c r="B22" s="21"/>
      <c r="C22" s="21"/>
      <c r="D22" s="21"/>
      <c r="E22" s="21"/>
      <c r="F22" s="21"/>
      <c r="G22" s="21"/>
      <c r="H22" s="21"/>
      <c r="I22" s="21"/>
      <c r="J22" s="21"/>
      <c r="K22" s="21"/>
    </row>
    <row r="23" spans="1:11" x14ac:dyDescent="0.25">
      <c r="A23" s="23"/>
      <c r="B23" s="21"/>
      <c r="C23" s="21"/>
      <c r="D23" s="21"/>
      <c r="E23" s="21"/>
      <c r="F23" s="21"/>
      <c r="G23" s="21"/>
      <c r="H23" s="21"/>
      <c r="I23" s="21"/>
      <c r="J23" s="21"/>
      <c r="K23" s="21"/>
    </row>
    <row r="24" spans="1:11" x14ac:dyDescent="0.25">
      <c r="A24" s="23"/>
      <c r="B24" s="21"/>
      <c r="C24" s="21"/>
      <c r="D24" s="21"/>
      <c r="E24" s="21"/>
      <c r="F24" s="21"/>
      <c r="G24" s="21"/>
      <c r="H24" s="21"/>
      <c r="I24" s="21"/>
      <c r="J24" s="21"/>
      <c r="K24" s="21"/>
    </row>
    <row r="25" spans="1:11" x14ac:dyDescent="0.25">
      <c r="A25" s="23"/>
      <c r="B25" s="21"/>
      <c r="C25" s="21"/>
      <c r="D25" s="21"/>
      <c r="E25" s="21"/>
      <c r="F25" s="21"/>
      <c r="G25" s="21"/>
      <c r="H25" s="21"/>
      <c r="I25" s="21"/>
      <c r="J25" s="21"/>
      <c r="K25" s="21"/>
    </row>
    <row r="26" spans="1:11" x14ac:dyDescent="0.25">
      <c r="A26" s="23"/>
      <c r="B26" s="21"/>
      <c r="C26" s="21"/>
      <c r="D26" s="21"/>
      <c r="E26" s="21"/>
      <c r="F26" s="21"/>
      <c r="G26" s="21"/>
      <c r="H26" s="21"/>
      <c r="I26" s="21"/>
      <c r="J26" s="21"/>
      <c r="K26" s="21"/>
    </row>
    <row r="27" spans="1:11" x14ac:dyDescent="0.25">
      <c r="A27" s="23"/>
      <c r="B27" s="21"/>
      <c r="C27" s="21"/>
      <c r="D27" s="21"/>
      <c r="E27" s="21"/>
      <c r="F27" s="21"/>
      <c r="G27" s="21"/>
      <c r="H27" s="21"/>
      <c r="I27" s="21"/>
      <c r="J27" s="21"/>
      <c r="K27" s="21"/>
    </row>
    <row r="28" spans="1:11" x14ac:dyDescent="0.25">
      <c r="A28" s="23"/>
      <c r="B28" s="21"/>
      <c r="C28" s="21"/>
      <c r="D28" s="21"/>
      <c r="E28" s="21"/>
      <c r="F28" s="21"/>
      <c r="G28" s="21"/>
      <c r="H28" s="21"/>
      <c r="I28" s="21"/>
      <c r="J28" s="21"/>
      <c r="K28" s="21"/>
    </row>
    <row r="29" spans="1:11" x14ac:dyDescent="0.25">
      <c r="A29" s="23"/>
      <c r="B29" s="21"/>
      <c r="C29" s="21"/>
      <c r="D29" s="21"/>
      <c r="E29" s="21"/>
      <c r="F29" s="21"/>
      <c r="G29" s="21"/>
      <c r="H29" s="21"/>
      <c r="I29" s="21"/>
      <c r="J29" s="21"/>
      <c r="K29" s="21"/>
    </row>
    <row r="30" spans="1:11" x14ac:dyDescent="0.25">
      <c r="A30" s="23"/>
      <c r="B30" s="21"/>
      <c r="C30" s="21"/>
      <c r="D30" s="21"/>
      <c r="E30" s="21"/>
      <c r="F30" s="21"/>
      <c r="G30" s="21"/>
      <c r="H30" s="21"/>
      <c r="I30" s="21"/>
      <c r="J30" s="21"/>
      <c r="K30" s="21"/>
    </row>
    <row r="31" spans="1:11" x14ac:dyDescent="0.25">
      <c r="A31" s="23"/>
      <c r="B31" s="21"/>
      <c r="C31" s="21"/>
      <c r="D31" s="21"/>
      <c r="E31" s="21"/>
      <c r="F31" s="21"/>
      <c r="G31" s="21"/>
      <c r="H31" s="21"/>
      <c r="I31" s="21"/>
      <c r="J31" s="21"/>
      <c r="K31" s="21"/>
    </row>
    <row r="32" spans="1:11" x14ac:dyDescent="0.25">
      <c r="A32" s="23"/>
      <c r="B32" s="21"/>
      <c r="C32" s="21"/>
      <c r="D32" s="21"/>
      <c r="E32" s="21"/>
      <c r="F32" s="21"/>
      <c r="G32" s="21"/>
      <c r="H32" s="21"/>
      <c r="I32" s="21"/>
      <c r="J32" s="21"/>
      <c r="K32" s="21"/>
    </row>
    <row r="33" spans="1:1" x14ac:dyDescent="0.25">
      <c r="A33" s="29"/>
    </row>
    <row r="34" spans="1:1" x14ac:dyDescent="0.25">
      <c r="A34" s="29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7C9C-3E1E-4BD3-A65F-C5965DC776C1}">
  <sheetPr codeName="Hoja9"/>
  <dimension ref="A1:K34"/>
  <sheetViews>
    <sheetView topLeftCell="A7" workbookViewId="0">
      <selection activeCell="A6" sqref="A6:K12"/>
    </sheetView>
  </sheetViews>
  <sheetFormatPr baseColWidth="10" defaultColWidth="9.140625" defaultRowHeight="15" x14ac:dyDescent="0.25"/>
  <cols>
    <col min="1" max="1" width="13" customWidth="1"/>
    <col min="2" max="2" width="10.140625" bestFit="1" customWidth="1"/>
    <col min="3" max="3" width="22" customWidth="1"/>
    <col min="4" max="4" width="12.7109375" bestFit="1" customWidth="1"/>
    <col min="5" max="5" width="10.140625" bestFit="1" customWidth="1"/>
    <col min="6" max="6" width="10" customWidth="1"/>
    <col min="7" max="7" width="32.5703125" bestFit="1" customWidth="1"/>
    <col min="8" max="9" width="25" customWidth="1"/>
    <col min="10" max="10" width="14" customWidth="1"/>
    <col min="11" max="11" width="15" customWidth="1"/>
  </cols>
  <sheetData>
    <row r="1" spans="1:11" ht="20.25" x14ac:dyDescent="0.35">
      <c r="A1" s="16" t="s">
        <v>171</v>
      </c>
    </row>
    <row r="3" spans="1:11" ht="17.25" x14ac:dyDescent="0.3">
      <c r="A3" s="4" t="s">
        <v>24</v>
      </c>
      <c r="D3" s="17">
        <f>SUMIF(Historial_Compras!B:B, "Monclova", Historial_Compras!K:K)</f>
        <v>0</v>
      </c>
    </row>
    <row r="5" spans="1:11" ht="24" customHeight="1" x14ac:dyDescent="0.25">
      <c r="A5" s="22" t="s">
        <v>18</v>
      </c>
      <c r="B5" s="22" t="s">
        <v>19</v>
      </c>
      <c r="C5" s="22" t="s">
        <v>20</v>
      </c>
      <c r="D5" s="22" t="s">
        <v>5</v>
      </c>
      <c r="E5" s="22" t="s">
        <v>6</v>
      </c>
      <c r="F5" s="22" t="s">
        <v>7</v>
      </c>
      <c r="G5" s="22" t="s">
        <v>8</v>
      </c>
      <c r="H5" s="22" t="s">
        <v>21</v>
      </c>
      <c r="I5" s="22" t="s">
        <v>22</v>
      </c>
      <c r="J5" s="22" t="s">
        <v>11</v>
      </c>
      <c r="K5" s="22" t="s">
        <v>12</v>
      </c>
    </row>
    <row r="6" spans="1:11" x14ac:dyDescent="0.25">
      <c r="A6" s="23">
        <v>46238</v>
      </c>
      <c r="B6" s="21" t="s">
        <v>373</v>
      </c>
      <c r="C6" s="21" t="s">
        <v>374</v>
      </c>
      <c r="D6" s="21"/>
      <c r="E6" s="21">
        <v>4</v>
      </c>
      <c r="F6" s="21" t="s">
        <v>132</v>
      </c>
      <c r="G6" s="21" t="s">
        <v>375</v>
      </c>
      <c r="H6" s="21"/>
      <c r="I6" s="21"/>
      <c r="J6" s="30">
        <v>650</v>
      </c>
      <c r="K6" s="30">
        <f>J6*E6</f>
        <v>2600</v>
      </c>
    </row>
    <row r="7" spans="1:11" x14ac:dyDescent="0.25">
      <c r="A7" s="23">
        <v>46238</v>
      </c>
      <c r="B7" s="21" t="s">
        <v>373</v>
      </c>
      <c r="C7" s="21" t="s">
        <v>374</v>
      </c>
      <c r="D7" s="21"/>
      <c r="E7" s="21">
        <v>4</v>
      </c>
      <c r="F7" s="21" t="s">
        <v>132</v>
      </c>
      <c r="G7" s="21" t="s">
        <v>376</v>
      </c>
      <c r="H7" s="21"/>
      <c r="I7" s="21"/>
      <c r="J7" s="30">
        <v>350</v>
      </c>
      <c r="K7" s="30">
        <f>J7*E7</f>
        <v>1400</v>
      </c>
    </row>
    <row r="8" spans="1:11" x14ac:dyDescent="0.25">
      <c r="A8" s="23">
        <v>46244</v>
      </c>
      <c r="B8" s="21" t="s">
        <v>373</v>
      </c>
      <c r="C8" s="21" t="s">
        <v>374</v>
      </c>
      <c r="D8" s="21"/>
      <c r="E8" s="21">
        <v>4</v>
      </c>
      <c r="F8" s="21" t="s">
        <v>132</v>
      </c>
      <c r="G8" s="21" t="s">
        <v>375</v>
      </c>
      <c r="H8" s="21"/>
      <c r="I8" s="21"/>
      <c r="J8" s="30">
        <v>650</v>
      </c>
      <c r="K8" s="30">
        <f>J8*E8</f>
        <v>2600</v>
      </c>
    </row>
    <row r="9" spans="1:11" x14ac:dyDescent="0.25">
      <c r="A9" s="23">
        <v>46244</v>
      </c>
      <c r="B9" s="21" t="s">
        <v>373</v>
      </c>
      <c r="C9" s="21" t="s">
        <v>374</v>
      </c>
      <c r="D9" s="21"/>
      <c r="E9" s="21">
        <v>1</v>
      </c>
      <c r="F9" s="21" t="s">
        <v>150</v>
      </c>
      <c r="G9" s="21" t="s">
        <v>377</v>
      </c>
      <c r="H9" s="21"/>
      <c r="I9" s="21"/>
      <c r="J9" s="30">
        <v>639.66</v>
      </c>
      <c r="K9" s="30">
        <v>639.66</v>
      </c>
    </row>
    <row r="10" spans="1:11" x14ac:dyDescent="0.25">
      <c r="A10" s="23">
        <v>46245</v>
      </c>
      <c r="B10" s="21" t="s">
        <v>373</v>
      </c>
      <c r="C10" s="21" t="s">
        <v>374</v>
      </c>
      <c r="D10" s="21"/>
      <c r="E10" s="21">
        <v>2</v>
      </c>
      <c r="F10" s="21" t="s">
        <v>150</v>
      </c>
      <c r="G10" s="21" t="s">
        <v>375</v>
      </c>
      <c r="H10" s="21"/>
      <c r="I10" s="21"/>
      <c r="J10" s="30">
        <v>650</v>
      </c>
      <c r="K10" s="30">
        <v>1300</v>
      </c>
    </row>
    <row r="11" spans="1:11" x14ac:dyDescent="0.25">
      <c r="A11" s="23">
        <v>46245</v>
      </c>
      <c r="B11" s="21" t="s">
        <v>373</v>
      </c>
      <c r="C11" s="21" t="s">
        <v>374</v>
      </c>
      <c r="D11" s="21"/>
      <c r="E11" s="21">
        <v>2</v>
      </c>
      <c r="F11" s="21" t="s">
        <v>150</v>
      </c>
      <c r="G11" s="21" t="s">
        <v>375</v>
      </c>
      <c r="H11" s="21"/>
      <c r="I11" s="21"/>
      <c r="J11" s="30">
        <v>650</v>
      </c>
      <c r="K11" s="30">
        <v>1300</v>
      </c>
    </row>
    <row r="12" spans="1:11" x14ac:dyDescent="0.25">
      <c r="A12" s="23">
        <v>46247</v>
      </c>
      <c r="B12" s="21" t="s">
        <v>373</v>
      </c>
      <c r="C12" s="21" t="s">
        <v>374</v>
      </c>
      <c r="D12" s="21"/>
      <c r="E12" s="21">
        <v>1</v>
      </c>
      <c r="F12" s="21" t="s">
        <v>150</v>
      </c>
      <c r="G12" s="21" t="s">
        <v>375</v>
      </c>
      <c r="H12" s="21"/>
      <c r="I12" s="21"/>
      <c r="J12" s="30">
        <v>650</v>
      </c>
      <c r="K12" s="30">
        <v>650</v>
      </c>
    </row>
    <row r="13" spans="1:11" x14ac:dyDescent="0.25">
      <c r="A13" s="23"/>
      <c r="B13" s="21"/>
      <c r="C13" s="21"/>
      <c r="D13" s="21"/>
      <c r="E13" s="21"/>
      <c r="F13" s="21"/>
      <c r="G13" s="21"/>
      <c r="H13" s="21"/>
      <c r="I13" s="21"/>
      <c r="J13" s="21"/>
      <c r="K13" s="21"/>
    </row>
    <row r="14" spans="1:11" x14ac:dyDescent="0.25">
      <c r="A14" s="23"/>
      <c r="B14" s="21"/>
      <c r="C14" s="21"/>
      <c r="D14" s="21"/>
      <c r="E14" s="21"/>
      <c r="F14" s="21"/>
      <c r="G14" s="21"/>
      <c r="H14" s="21"/>
      <c r="I14" s="21"/>
      <c r="J14" s="21"/>
      <c r="K14" s="21"/>
    </row>
    <row r="15" spans="1:11" x14ac:dyDescent="0.25">
      <c r="A15" s="23"/>
      <c r="B15" s="21"/>
      <c r="C15" s="21"/>
      <c r="D15" s="21"/>
      <c r="E15" s="21"/>
      <c r="F15" s="21"/>
      <c r="G15" s="21"/>
      <c r="H15" s="21"/>
      <c r="I15" s="21"/>
      <c r="J15" s="21"/>
      <c r="K15" s="21"/>
    </row>
    <row r="16" spans="1:11" x14ac:dyDescent="0.25">
      <c r="A16" s="23"/>
      <c r="B16" s="21"/>
      <c r="C16" s="21"/>
      <c r="D16" s="21"/>
      <c r="E16" s="21"/>
      <c r="F16" s="21"/>
      <c r="G16" s="21"/>
      <c r="H16" s="21"/>
      <c r="I16" s="21"/>
      <c r="J16" s="21"/>
      <c r="K16" s="21"/>
    </row>
    <row r="17" spans="1:11" x14ac:dyDescent="0.25">
      <c r="A17" s="23"/>
      <c r="B17" s="21"/>
      <c r="C17" s="21"/>
      <c r="D17" s="21"/>
      <c r="E17" s="21"/>
      <c r="F17" s="21"/>
      <c r="G17" s="21"/>
      <c r="H17" s="21"/>
      <c r="I17" s="21"/>
      <c r="J17" s="21"/>
      <c r="K17" s="21"/>
    </row>
    <row r="18" spans="1:11" x14ac:dyDescent="0.25">
      <c r="A18" s="23"/>
      <c r="B18" s="21"/>
      <c r="C18" s="21"/>
      <c r="D18" s="21"/>
      <c r="E18" s="21"/>
      <c r="F18" s="21"/>
      <c r="G18" s="21"/>
      <c r="H18" s="21"/>
      <c r="I18" s="21"/>
      <c r="J18" s="21"/>
      <c r="K18" s="21"/>
    </row>
    <row r="19" spans="1:11" x14ac:dyDescent="0.25">
      <c r="A19" s="23"/>
      <c r="B19" s="21"/>
      <c r="C19" s="21"/>
      <c r="D19" s="21"/>
      <c r="E19" s="21"/>
      <c r="F19" s="21"/>
      <c r="G19" s="21"/>
      <c r="H19" s="21"/>
      <c r="I19" s="21"/>
      <c r="J19" s="21"/>
      <c r="K19" s="21"/>
    </row>
    <row r="20" spans="1:11" x14ac:dyDescent="0.25">
      <c r="A20" s="23"/>
      <c r="B20" s="21"/>
      <c r="C20" s="21"/>
      <c r="D20" s="21"/>
      <c r="E20" s="21"/>
      <c r="F20" s="21"/>
      <c r="G20" s="21"/>
      <c r="H20" s="21"/>
      <c r="I20" s="21"/>
      <c r="J20" s="21"/>
      <c r="K20" s="21"/>
    </row>
    <row r="21" spans="1:11" x14ac:dyDescent="0.25">
      <c r="A21" s="23"/>
      <c r="B21" s="21"/>
      <c r="C21" s="21"/>
      <c r="D21" s="21"/>
      <c r="E21" s="21"/>
      <c r="F21" s="21"/>
      <c r="G21" s="21"/>
      <c r="H21" s="21"/>
      <c r="I21" s="21"/>
      <c r="J21" s="21"/>
      <c r="K21" s="21"/>
    </row>
    <row r="22" spans="1:11" x14ac:dyDescent="0.25">
      <c r="A22" s="23"/>
      <c r="B22" s="21"/>
      <c r="C22" s="21"/>
      <c r="D22" s="21"/>
      <c r="E22" s="21"/>
      <c r="F22" s="21"/>
      <c r="G22" s="21"/>
      <c r="H22" s="21"/>
      <c r="I22" s="21"/>
      <c r="J22" s="21"/>
      <c r="K22" s="21"/>
    </row>
    <row r="23" spans="1:11" x14ac:dyDescent="0.25">
      <c r="A23" s="23"/>
      <c r="B23" s="21"/>
      <c r="C23" s="21"/>
      <c r="D23" s="21"/>
      <c r="E23" s="21"/>
      <c r="F23" s="21"/>
      <c r="G23" s="21"/>
      <c r="H23" s="21"/>
      <c r="I23" s="21"/>
      <c r="J23" s="21"/>
      <c r="K23" s="21"/>
    </row>
    <row r="24" spans="1:11" x14ac:dyDescent="0.25">
      <c r="A24" s="23"/>
      <c r="B24" s="21"/>
      <c r="C24" s="21"/>
      <c r="D24" s="21"/>
      <c r="E24" s="21"/>
      <c r="F24" s="21"/>
      <c r="G24" s="21"/>
      <c r="H24" s="21"/>
      <c r="I24" s="21"/>
      <c r="J24" s="21"/>
      <c r="K24" s="21"/>
    </row>
    <row r="25" spans="1:11" x14ac:dyDescent="0.25">
      <c r="A25" s="23"/>
      <c r="B25" s="21"/>
      <c r="C25" s="21"/>
      <c r="D25" s="21"/>
      <c r="E25" s="21"/>
      <c r="F25" s="21"/>
      <c r="G25" s="21"/>
      <c r="H25" s="21"/>
      <c r="I25" s="21"/>
      <c r="J25" s="21"/>
      <c r="K25" s="21"/>
    </row>
    <row r="26" spans="1:11" x14ac:dyDescent="0.25">
      <c r="A26" s="23"/>
      <c r="B26" s="21"/>
      <c r="C26" s="21"/>
      <c r="D26" s="21"/>
      <c r="E26" s="21"/>
      <c r="F26" s="21"/>
      <c r="G26" s="21"/>
      <c r="H26" s="21"/>
      <c r="I26" s="21"/>
      <c r="J26" s="21"/>
      <c r="K26" s="21"/>
    </row>
    <row r="27" spans="1:11" x14ac:dyDescent="0.25">
      <c r="A27" s="23"/>
      <c r="B27" s="21"/>
      <c r="C27" s="21"/>
      <c r="D27" s="21"/>
      <c r="E27" s="21"/>
      <c r="F27" s="21"/>
      <c r="G27" s="21"/>
      <c r="H27" s="21"/>
      <c r="I27" s="21"/>
      <c r="J27" s="21"/>
      <c r="K27" s="21"/>
    </row>
    <row r="28" spans="1:11" x14ac:dyDescent="0.25">
      <c r="A28" s="23"/>
      <c r="B28" s="21"/>
      <c r="C28" s="21"/>
      <c r="D28" s="21"/>
      <c r="E28" s="21"/>
      <c r="F28" s="21"/>
      <c r="G28" s="21"/>
      <c r="H28" s="21"/>
      <c r="I28" s="21"/>
      <c r="J28" s="21"/>
      <c r="K28" s="21"/>
    </row>
    <row r="29" spans="1:11" x14ac:dyDescent="0.25">
      <c r="A29" s="23"/>
      <c r="B29" s="21"/>
      <c r="C29" s="21"/>
      <c r="D29" s="21"/>
      <c r="E29" s="21"/>
      <c r="F29" s="21"/>
      <c r="G29" s="21"/>
      <c r="H29" s="21"/>
      <c r="I29" s="21"/>
      <c r="J29" s="21"/>
      <c r="K29" s="21"/>
    </row>
    <row r="30" spans="1:11" x14ac:dyDescent="0.25">
      <c r="A30" s="23"/>
      <c r="B30" s="21"/>
      <c r="C30" s="21"/>
      <c r="D30" s="21"/>
      <c r="E30" s="21"/>
      <c r="F30" s="21"/>
      <c r="G30" s="21"/>
      <c r="H30" s="21"/>
      <c r="I30" s="21"/>
      <c r="J30" s="21"/>
      <c r="K30" s="21"/>
    </row>
    <row r="31" spans="1:11" x14ac:dyDescent="0.25">
      <c r="A31" s="23"/>
      <c r="B31" s="21"/>
      <c r="C31" s="21"/>
      <c r="D31" s="21"/>
      <c r="E31" s="21"/>
      <c r="F31" s="21"/>
      <c r="G31" s="21"/>
      <c r="H31" s="21"/>
      <c r="I31" s="21"/>
      <c r="J31" s="21"/>
      <c r="K31" s="21"/>
    </row>
    <row r="32" spans="1:11" x14ac:dyDescent="0.25">
      <c r="A32" s="23"/>
      <c r="B32" s="21"/>
      <c r="C32" s="21"/>
      <c r="D32" s="21"/>
      <c r="E32" s="21"/>
      <c r="F32" s="21"/>
      <c r="G32" s="21"/>
      <c r="H32" s="21"/>
      <c r="I32" s="21"/>
      <c r="J32" s="21"/>
      <c r="K32" s="21"/>
    </row>
    <row r="33" spans="1:1" x14ac:dyDescent="0.25">
      <c r="A33" s="29"/>
    </row>
    <row r="34" spans="1:1" x14ac:dyDescent="0.25">
      <c r="A34" s="29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Captura_Orden</vt:lpstr>
      <vt:lpstr>Historial_Compras</vt:lpstr>
      <vt:lpstr>Arauco</vt:lpstr>
      <vt:lpstr>Aranzazú</vt:lpstr>
      <vt:lpstr>Monterrey</vt:lpstr>
      <vt:lpstr>Tayoltita</vt:lpstr>
      <vt:lpstr>Taller</vt:lpstr>
      <vt:lpstr>Monclova </vt:lpstr>
      <vt:lpstr>TORREON </vt:lpstr>
      <vt:lpstr>Aranzazú!Área_de_impresión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</dc:creator>
  <cp:lastModifiedBy>Usuario</cp:lastModifiedBy>
  <dcterms:created xsi:type="dcterms:W3CDTF">2026-06-14T02:49:40Z</dcterms:created>
  <dcterms:modified xsi:type="dcterms:W3CDTF">2026-08-25T19:17:37Z</dcterms:modified>
</cp:coreProperties>
</file>